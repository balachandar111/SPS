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Variant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'Products'!$A$1:$I$32</definedName>
    <definedName name="_xlnm._FilterDatabase" localSheetId="1" hidden="1">'Variants'!$A$1:$H$107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0563C1"/>
      <sz val="10"/>
      <u val="single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73526"/>
      </patternFill>
    </fill>
  </fills>
  <borders count="2">
    <border>
      <left/>
      <right/>
      <top/>
      <bottom/>
      <diagonal/>
    </border>
    <border>
      <left style="thin">
        <color rgb="00D9DED6"/>
      </left>
      <right style="thin">
        <color rgb="00D9DED6"/>
      </right>
      <top style="thin">
        <color rgb="00D9DED6"/>
      </top>
      <bottom style="thin">
        <color rgb="00D9DE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 wrapText="1"/>
    </xf>
    <xf numFmtId="0" fontId="3" fillId="2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vitrigroup.in/products/rice/premium-rice/savitri-ashirvaad/" TargetMode="External" Id="rId1"/><Relationship Type="http://schemas.openxmlformats.org/officeDocument/2006/relationships/hyperlink" Target="https://savitrigroup.in/wp-content/uploads/2018/02/ashirvaad-1.jpg" TargetMode="External" Id="rId2"/><Relationship Type="http://schemas.openxmlformats.org/officeDocument/2006/relationships/hyperlink" Target="https://savitrigroup.in/products/rice/premium-rice/savitri-anugrahaa/" TargetMode="External" Id="rId3"/><Relationship Type="http://schemas.openxmlformats.org/officeDocument/2006/relationships/hyperlink" Target="https://savitrigroup.in/wp-content/uploads/2025/07/savitri_anugraha-green.jpg" TargetMode="External" Id="rId4"/><Relationship Type="http://schemas.openxmlformats.org/officeDocument/2006/relationships/hyperlink" Target="https://savitrigroup.in/products/rice/premium-rice/abhivrudhi/" TargetMode="External" Id="rId5"/><Relationship Type="http://schemas.openxmlformats.org/officeDocument/2006/relationships/hyperlink" Target="https://savitrigroup.in/wp-content/uploads/2025/04/abhivrudhi-bronze.jpg" TargetMode="External" Id="rId6"/><Relationship Type="http://schemas.openxmlformats.org/officeDocument/2006/relationships/hyperlink" Target="https://savitrigroup.in/products/rice/special-rice/ashirvaad-premium/" TargetMode="External" Id="rId7"/><Relationship Type="http://schemas.openxmlformats.org/officeDocument/2006/relationships/hyperlink" Target="https://savitrigroup.in/wp-content/uploads/2018/02/premium-1.jpg" TargetMode="External" Id="rId8"/><Relationship Type="http://schemas.openxmlformats.org/officeDocument/2006/relationships/hyperlink" Target="https://savitrigroup.in/products/rice/special-rice/ashirvaad-indian-special/" TargetMode="External" Id="rId9"/><Relationship Type="http://schemas.openxmlformats.org/officeDocument/2006/relationships/hyperlink" Target="https://savitrigroup.in/wp-content/uploads/2018/02/indian-special-1.jpg" TargetMode="External" Id="rId10"/><Relationship Type="http://schemas.openxmlformats.org/officeDocument/2006/relationships/hyperlink" Target="https://savitrigroup.in/products/rice/special-rice/ashirvaad-sanjeevani/" TargetMode="External" Id="rId11"/><Relationship Type="http://schemas.openxmlformats.org/officeDocument/2006/relationships/hyperlink" Target="https://savitrigroup.in/wp-content/uploads/2021/08/Sanjeevani-1.png" TargetMode="External" Id="rId12"/><Relationship Type="http://schemas.openxmlformats.org/officeDocument/2006/relationships/hyperlink" Target="https://savitrigroup.in/products/rice/special-rice/sambramam/" TargetMode="External" Id="rId13"/><Relationship Type="http://schemas.openxmlformats.org/officeDocument/2006/relationships/hyperlink" Target="https://savitrigroup.in/wp-content/uploads/2025/04/krupa-sambramam-blue.jpg" TargetMode="External" Id="rId14"/><Relationship Type="http://schemas.openxmlformats.org/officeDocument/2006/relationships/hyperlink" Target="https://savitrigroup.in/products/rice/consumer-rice-range/amruth-gold/" TargetMode="External" Id="rId15"/><Relationship Type="http://schemas.openxmlformats.org/officeDocument/2006/relationships/hyperlink" Target="https://savitrigroup.in/wp-content/uploads/2018/02/amruth-1.jpg" TargetMode="External" Id="rId16"/><Relationship Type="http://schemas.openxmlformats.org/officeDocument/2006/relationships/hyperlink" Target="https://savitrigroup.in/products/rice/consumer-rice-range/avani/" TargetMode="External" Id="rId17"/><Relationship Type="http://schemas.openxmlformats.org/officeDocument/2006/relationships/hyperlink" Target="https://savitrigroup.in/wp-content/uploads/2025/04/avani-blue.jpg" TargetMode="External" Id="rId18"/><Relationship Type="http://schemas.openxmlformats.org/officeDocument/2006/relationships/hyperlink" Target="https://savitrigroup.in/products/rice/consumer-rice-range/akshata/" TargetMode="External" Id="rId19"/><Relationship Type="http://schemas.openxmlformats.org/officeDocument/2006/relationships/hyperlink" Target="https://savitrigroup.in/wp-content/uploads/2018/02/akshata-1.jpg" TargetMode="External" Id="rId20"/><Relationship Type="http://schemas.openxmlformats.org/officeDocument/2006/relationships/hyperlink" Target="https://savitrigroup.in/products/rice/consumer-rice-range/akshaya/" TargetMode="External" Id="rId21"/><Relationship Type="http://schemas.openxmlformats.org/officeDocument/2006/relationships/hyperlink" Target="https://savitrigroup.in/wp-content/uploads/2025/04/akshaya-silk-blue.jpg" TargetMode="External" Id="rId22"/><Relationship Type="http://schemas.openxmlformats.org/officeDocument/2006/relationships/hyperlink" Target="https://savitrigroup.in/products/rice/economical-rice-range/family/" TargetMode="External" Id="rId23"/><Relationship Type="http://schemas.openxmlformats.org/officeDocument/2006/relationships/hyperlink" Target="https://savitrigroup.in/wp-content/uploads/2018/02/family-1.jpg" TargetMode="External" Id="rId24"/><Relationship Type="http://schemas.openxmlformats.org/officeDocument/2006/relationships/hyperlink" Target="https://savitrigroup.in/products/rice/economical-rice-range/kutumbh/" TargetMode="External" Id="rId25"/><Relationship Type="http://schemas.openxmlformats.org/officeDocument/2006/relationships/hyperlink" Target="https://savitrigroup.in/wp-content/uploads/2025/04/kutumbh-blue.jpg" TargetMode="External" Id="rId26"/><Relationship Type="http://schemas.openxmlformats.org/officeDocument/2006/relationships/hyperlink" Target="https://savitrigroup.in/products/rice/economical-rice-range/ayush/" TargetMode="External" Id="rId27"/><Relationship Type="http://schemas.openxmlformats.org/officeDocument/2006/relationships/hyperlink" Target="https://savitrigroup.in/wp-content/uploads/2018/02/auysh-1.jpg" TargetMode="External" Id="rId28"/><Relationship Type="http://schemas.openxmlformats.org/officeDocument/2006/relationships/hyperlink" Target="https://savitrigroup.in/products/rice/economical-rice-range/krupa/" TargetMode="External" Id="rId29"/><Relationship Type="http://schemas.openxmlformats.org/officeDocument/2006/relationships/hyperlink" Target="https://savitrigroup.in/wp-content/uploads/2025/04/krupa-blue.jpg" TargetMode="External" Id="rId30"/><Relationship Type="http://schemas.openxmlformats.org/officeDocument/2006/relationships/hyperlink" Target="https://savitrigroup.in/products/rice/economical-rice-range/ajantha/" TargetMode="External" Id="rId31"/><Relationship Type="http://schemas.openxmlformats.org/officeDocument/2006/relationships/hyperlink" Target="https://savitrigroup.in/wp-content/uploads/2018/02/ajanta-1.jpg" TargetMode="External" Id="rId32"/><Relationship Type="http://schemas.openxmlformats.org/officeDocument/2006/relationships/hyperlink" Target="https://savitrigroup.in/products/rice/economical-rice-range/elephanta/" TargetMode="External" Id="rId33"/><Relationship Type="http://schemas.openxmlformats.org/officeDocument/2006/relationships/hyperlink" Target="https://savitrigroup.in/wp-content/uploads/2018/02/elephanta-1.jpg" TargetMode="External" Id="rId34"/><Relationship Type="http://schemas.openxmlformats.org/officeDocument/2006/relationships/hyperlink" Target="https://savitrigroup.in/products/rice/economical-rice-range/ellora/" TargetMode="External" Id="rId35"/><Relationship Type="http://schemas.openxmlformats.org/officeDocument/2006/relationships/hyperlink" Target="https://savitrigroup.in/wp-content/uploads/2018/02/ellora-1.jpg" TargetMode="External" Id="rId36"/><Relationship Type="http://schemas.openxmlformats.org/officeDocument/2006/relationships/hyperlink" Target="https://savitrigroup.in/products/rice/broken-rice-range/ship/" TargetMode="External" Id="rId37"/><Relationship Type="http://schemas.openxmlformats.org/officeDocument/2006/relationships/hyperlink" Target="https://savitrigroup.in/wp-content/uploads/2025/04/ship-green.jpg" TargetMode="External" Id="rId38"/><Relationship Type="http://schemas.openxmlformats.org/officeDocument/2006/relationships/hyperlink" Target="https://savitrigroup.in/products/rice/broken-rice-range/train/" TargetMode="External" Id="rId39"/><Relationship Type="http://schemas.openxmlformats.org/officeDocument/2006/relationships/hyperlink" Target="https://savitrigroup.in/wp-content/uploads/2025/04/train-blue.jpg" TargetMode="External" Id="rId40"/><Relationship Type="http://schemas.openxmlformats.org/officeDocument/2006/relationships/hyperlink" Target="https://savitrigroup.in/products/rice/broken-rice-range/lorry/" TargetMode="External" Id="rId41"/><Relationship Type="http://schemas.openxmlformats.org/officeDocument/2006/relationships/hyperlink" Target="https://savitrigroup.in/wp-content/uploads/2018/02/lorry-1.jpg" TargetMode="External" Id="rId42"/><Relationship Type="http://schemas.openxmlformats.org/officeDocument/2006/relationships/hyperlink" Target="https://savitrigroup.in/products/rice/broken-rice-range/tractor/" TargetMode="External" Id="rId43"/><Relationship Type="http://schemas.openxmlformats.org/officeDocument/2006/relationships/hyperlink" Target="https://savitrigroup.in/wp-content/uploads/2018/02/tractor-1.jpg" TargetMode="External" Id="rId44"/><Relationship Type="http://schemas.openxmlformats.org/officeDocument/2006/relationships/hyperlink" Target="https://savitrigroup.in/products/rice/broken-rice-range/auto/" TargetMode="External" Id="rId45"/><Relationship Type="http://schemas.openxmlformats.org/officeDocument/2006/relationships/hyperlink" Target="https://savitrigroup.in/wp-content/uploads/2018/02/auto-1.jpg" TargetMode="External" Id="rId46"/><Relationship Type="http://schemas.openxmlformats.org/officeDocument/2006/relationships/hyperlink" Target="https://savitrigroup.in/products/rice/broken-rice-range/scooter/" TargetMode="External" Id="rId47"/><Relationship Type="http://schemas.openxmlformats.org/officeDocument/2006/relationships/hyperlink" Target="https://savitrigroup.in/wp-content/uploads/2018/02/scooter-1.jpg" TargetMode="External" Id="rId48"/><Relationship Type="http://schemas.openxmlformats.org/officeDocument/2006/relationships/hyperlink" Target="https://savitrigroup.in/products/rice/broken-rice-range/kangaroo/" TargetMode="External" Id="rId49"/><Relationship Type="http://schemas.openxmlformats.org/officeDocument/2006/relationships/hyperlink" Target="https://savitrigroup.in/wp-content/uploads/2018/02/kangaroo-1.jpg" TargetMode="External" Id="rId50"/><Relationship Type="http://schemas.openxmlformats.org/officeDocument/2006/relationships/hyperlink" Target="https://savitrigroup.in/products/rice-by-products/ashirvaad-idli-rawa/" TargetMode="External" Id="rId51"/><Relationship Type="http://schemas.openxmlformats.org/officeDocument/2006/relationships/hyperlink" Target="https://savitrigroup.in/products/rice-by-products/ashirvaad-rice-flour/" TargetMode="External" Id="rId52"/><Relationship Type="http://schemas.openxmlformats.org/officeDocument/2006/relationships/hyperlink" Target="https://savitrigroup.in/products/rice-by-products/ashirvaad-poha/" TargetMode="External" Id="rId53"/><Relationship Type="http://schemas.openxmlformats.org/officeDocument/2006/relationships/hyperlink" Target="https://savitrigroup.in/products/rice-by-products/ashirvaad-rice-rawa/" TargetMode="External" Id="rId54"/><Relationship Type="http://schemas.openxmlformats.org/officeDocument/2006/relationships/hyperlink" Target="https://savitrigroup.in/products/rice-by-products/ashirvaad-murmure/" TargetMode="External" Id="rId55"/><Relationship Type="http://schemas.openxmlformats.org/officeDocument/2006/relationships/hyperlink" Target="https://savitrigroup.in/products/rice-by-products/ashirvaad-puttu-podi/" TargetMode="External" Id="rId56"/></Relationships>
</file>

<file path=xl/worksheets/_rels/sheet2.xml.rels><Relationships xmlns="http://schemas.openxmlformats.org/package/2006/relationships"><Relationship Type="http://schemas.openxmlformats.org/officeDocument/2006/relationships/hyperlink" Target="https://savitrigroup.in/wp-content/uploads/2018/02/ashirvaad-1.jpg" TargetMode="External" Id="rId1"/><Relationship Type="http://schemas.openxmlformats.org/officeDocument/2006/relationships/hyperlink" Target="https://savitrigroup.in/products/rice/premium-rice/savitri-ashirvaad/bronze/" TargetMode="External" Id="rId2"/><Relationship Type="http://schemas.openxmlformats.org/officeDocument/2006/relationships/hyperlink" Target="https://savitrigroup.in/wp-content/uploads/2018/02/ashirvaad-2.jpg" TargetMode="External" Id="rId3"/><Relationship Type="http://schemas.openxmlformats.org/officeDocument/2006/relationships/hyperlink" Target="https://savitrigroup.in/products/rice/premium-rice/savitri-ashirvaad/copper/" TargetMode="External" Id="rId4"/><Relationship Type="http://schemas.openxmlformats.org/officeDocument/2006/relationships/hyperlink" Target="https://savitrigroup.in/wp-content/uploads/2018/02/ashirvaad-3.jpg" TargetMode="External" Id="rId5"/><Relationship Type="http://schemas.openxmlformats.org/officeDocument/2006/relationships/hyperlink" Target="https://savitrigroup.in/products/rice/premium-rice/savitri-ashirvaad/gold/" TargetMode="External" Id="rId6"/><Relationship Type="http://schemas.openxmlformats.org/officeDocument/2006/relationships/hyperlink" Target="https://savitrigroup.in/wp-content/uploads/2018/02/ashirvaad-4.jpg" TargetMode="External" Id="rId7"/><Relationship Type="http://schemas.openxmlformats.org/officeDocument/2006/relationships/hyperlink" Target="https://savitrigroup.in/products/rice/premium-rice/savitri-ashirvaad/steel/" TargetMode="External" Id="rId8"/><Relationship Type="http://schemas.openxmlformats.org/officeDocument/2006/relationships/hyperlink" Target="https://savitrigroup.in/wp-content/uploads/2018/02/ashirvaad-5.jpg" TargetMode="External" Id="rId9"/><Relationship Type="http://schemas.openxmlformats.org/officeDocument/2006/relationships/hyperlink" Target="https://savitrigroup.in/products/rice/premium-rice/savitri-ashirvaad/platinum-2/" TargetMode="External" Id="rId10"/><Relationship Type="http://schemas.openxmlformats.org/officeDocument/2006/relationships/hyperlink" Target="https://savitrigroup.in/wp-content/uploads/2018/02/ashirvaad-6.jpg" TargetMode="External" Id="rId11"/><Relationship Type="http://schemas.openxmlformats.org/officeDocument/2006/relationships/hyperlink" Target="https://savitrigroup.in/products/rice/premium-rice/savitri-ashirvaad/silver/" TargetMode="External" Id="rId12"/><Relationship Type="http://schemas.openxmlformats.org/officeDocument/2006/relationships/hyperlink" Target="https://savitrigroup.in/wp-content/uploads/2018/02/ashirvaad-7.jpg" TargetMode="External" Id="rId13"/><Relationship Type="http://schemas.openxmlformats.org/officeDocument/2006/relationships/hyperlink" Target="https://savitrigroup.in/products/rice/premium-rice/savitri-ashirvaad/emerald/" TargetMode="External" Id="rId14"/><Relationship Type="http://schemas.openxmlformats.org/officeDocument/2006/relationships/hyperlink" Target="https://savitrigroup.in/wp-content/uploads/2018/02/ashirvaad-9.jpg" TargetMode="External" Id="rId15"/><Relationship Type="http://schemas.openxmlformats.org/officeDocument/2006/relationships/hyperlink" Target="https://savitrigroup.in/products/rice/premium-rice/savitri-ashirvaad/sapphire/" TargetMode="External" Id="rId16"/><Relationship Type="http://schemas.openxmlformats.org/officeDocument/2006/relationships/hyperlink" Target="https://savitrigroup.in/wp-content/uploads/2018/02/ashirvaad-10.jpg" TargetMode="External" Id="rId17"/><Relationship Type="http://schemas.openxmlformats.org/officeDocument/2006/relationships/hyperlink" Target="https://savitrigroup.in/products/rice/premium-rice/savitri-ashirvaad/diamond/" TargetMode="External" Id="rId18"/><Relationship Type="http://schemas.openxmlformats.org/officeDocument/2006/relationships/hyperlink" Target="https://savitrigroup.in/wp-content/uploads/2025/07/savitri_anugraha-green.jpg" TargetMode="External" Id="rId19"/><Relationship Type="http://schemas.openxmlformats.org/officeDocument/2006/relationships/hyperlink" Target="https://savitrigroup.in/products/rice/premium-rice/savitri-anugrahaa/green/" TargetMode="External" Id="rId20"/><Relationship Type="http://schemas.openxmlformats.org/officeDocument/2006/relationships/hyperlink" Target="https://savitrigroup.in/wp-content/uploads/2025/07/savitri_anugraha-red.jpg" TargetMode="External" Id="rId21"/><Relationship Type="http://schemas.openxmlformats.org/officeDocument/2006/relationships/hyperlink" Target="https://savitrigroup.in/products/rice/premium-rice/savitri-anugrahaa/orange/" TargetMode="External" Id="rId22"/><Relationship Type="http://schemas.openxmlformats.org/officeDocument/2006/relationships/hyperlink" Target="https://savitrigroup.in/wp-content/uploads/2025/07/savitri_anugraha-brown.jpg" TargetMode="External" Id="rId23"/><Relationship Type="http://schemas.openxmlformats.org/officeDocument/2006/relationships/hyperlink" Target="https://savitrigroup.in/products/rice/premium-rice/savitri-anugrahaa/brown/" TargetMode="External" Id="rId24"/><Relationship Type="http://schemas.openxmlformats.org/officeDocument/2006/relationships/hyperlink" Target="https://savitrigroup.in/wp-content/uploads/2025/07/savitri_anugraha-yellow.jpg" TargetMode="External" Id="rId25"/><Relationship Type="http://schemas.openxmlformats.org/officeDocument/2006/relationships/hyperlink" Target="https://savitrigroup.in/products/rice/premium-rice/savitri-anugrahaa/yellow/" TargetMode="External" Id="rId26"/><Relationship Type="http://schemas.openxmlformats.org/officeDocument/2006/relationships/hyperlink" Target="https://savitrigroup.in/wp-content/uploads/2025/07/savitri_anugraha-black-1.jpg" TargetMode="External" Id="rId27"/><Relationship Type="http://schemas.openxmlformats.org/officeDocument/2006/relationships/hyperlink" Target="https://savitrigroup.in/products/rice/premium-rice/savitri-anugrahaa/black/" TargetMode="External" Id="rId28"/><Relationship Type="http://schemas.openxmlformats.org/officeDocument/2006/relationships/hyperlink" Target="https://savitrigroup.in/wp-content/uploads/2025/07/savitri_anugraha-blue.jpg" TargetMode="External" Id="rId29"/><Relationship Type="http://schemas.openxmlformats.org/officeDocument/2006/relationships/hyperlink" Target="https://savitrigroup.in/products/rice/premium-rice/savitri-anugrahaa/blue/" TargetMode="External" Id="rId30"/><Relationship Type="http://schemas.openxmlformats.org/officeDocument/2006/relationships/hyperlink" Target="https://savitrigroup.in/wp-content/uploads/2025/07/savitri_anugraha-grey.jpg" TargetMode="External" Id="rId31"/><Relationship Type="http://schemas.openxmlformats.org/officeDocument/2006/relationships/hyperlink" Target="https://savitrigroup.in/products/rice/premium-rice/savitri-anugrahaa/grey/" TargetMode="External" Id="rId32"/><Relationship Type="http://schemas.openxmlformats.org/officeDocument/2006/relationships/hyperlink" Target="https://savitrigroup.in/wp-content/uploads/2025/07/savitri_anugraha-orange.jpg" TargetMode="External" Id="rId33"/><Relationship Type="http://schemas.openxmlformats.org/officeDocument/2006/relationships/hyperlink" Target="https://savitrigroup.in/products/rice/premium-rice/savitri-anugrahaa/red/" TargetMode="External" Id="rId34"/><Relationship Type="http://schemas.openxmlformats.org/officeDocument/2006/relationships/hyperlink" Target="https://savitrigroup.in/wp-content/uploads/2025/07/savitri_anugraha-purple.jpg" TargetMode="External" Id="rId35"/><Relationship Type="http://schemas.openxmlformats.org/officeDocument/2006/relationships/hyperlink" Target="https://savitrigroup.in/products/rice/premium-rice/savitri-anugrahaa/purple/" TargetMode="External" Id="rId36"/><Relationship Type="http://schemas.openxmlformats.org/officeDocument/2006/relationships/hyperlink" Target="https://savitrigroup.in/wp-content/uploads/2025/07/savitri_anugraha-white.jpg" TargetMode="External" Id="rId37"/><Relationship Type="http://schemas.openxmlformats.org/officeDocument/2006/relationships/hyperlink" Target="https://savitrigroup.in/products/rice/premium-rice/savitri-anugrahaa/white/" TargetMode="External" Id="rId38"/><Relationship Type="http://schemas.openxmlformats.org/officeDocument/2006/relationships/hyperlink" Target="https://savitrigroup.in/wp-content/uploads/2025/04/abhivrudhi-bronze.jpg" TargetMode="External" Id="rId39"/><Relationship Type="http://schemas.openxmlformats.org/officeDocument/2006/relationships/hyperlink" Target="https://savitrigroup.in/wp-content/uploads/2025/04/abhivrudhi-copper.jpg" TargetMode="External" Id="rId40"/><Relationship Type="http://schemas.openxmlformats.org/officeDocument/2006/relationships/hyperlink" Target="https://savitrigroup.in/wp-content/uploads/2025/04/abhivrudhi-diamond.jpg" TargetMode="External" Id="rId41"/><Relationship Type="http://schemas.openxmlformats.org/officeDocument/2006/relationships/hyperlink" Target="https://savitrigroup.in/wp-content/uploads/2025/04/abhivrudhi-emerald.jpg" TargetMode="External" Id="rId42"/><Relationship Type="http://schemas.openxmlformats.org/officeDocument/2006/relationships/hyperlink" Target="https://savitrigroup.in/wp-content/uploads/2025/04/abhivrudhi-gold.jpg" TargetMode="External" Id="rId43"/><Relationship Type="http://schemas.openxmlformats.org/officeDocument/2006/relationships/hyperlink" Target="https://savitrigroup.in/wp-content/uploads/2025/04/abhivrudhi-platinum.jpg" TargetMode="External" Id="rId44"/><Relationship Type="http://schemas.openxmlformats.org/officeDocument/2006/relationships/hyperlink" Target="https://savitrigroup.in/wp-content/uploads/2025/04/abhivrudhi-ruby.jpg" TargetMode="External" Id="rId45"/><Relationship Type="http://schemas.openxmlformats.org/officeDocument/2006/relationships/hyperlink" Target="https://savitrigroup.in/wp-content/uploads/2025/04/abhivrudhi-sapphire.jpg" TargetMode="External" Id="rId46"/><Relationship Type="http://schemas.openxmlformats.org/officeDocument/2006/relationships/hyperlink" Target="https://savitrigroup.in/wp-content/uploads/2025/04/abhivrudhi-silver.jpg" TargetMode="External" Id="rId47"/><Relationship Type="http://schemas.openxmlformats.org/officeDocument/2006/relationships/hyperlink" Target="https://savitrigroup.in/wp-content/uploads/2025/04/abhivrudhi-steel.jpg" TargetMode="External" Id="rId48"/><Relationship Type="http://schemas.openxmlformats.org/officeDocument/2006/relationships/hyperlink" Target="https://savitrigroup.in/wp-content/uploads/2018/02/premium-1.jpg" TargetMode="External" Id="rId49"/><Relationship Type="http://schemas.openxmlformats.org/officeDocument/2006/relationships/hyperlink" Target="https://savitrigroup.in/products/rice/special-rice/ashirvaad-premium/hmt-rice-1/" TargetMode="External" Id="rId50"/><Relationship Type="http://schemas.openxmlformats.org/officeDocument/2006/relationships/hyperlink" Target="https://savitrigroup.in/wp-content/uploads/2018/02/premium-2.jpg" TargetMode="External" Id="rId51"/><Relationship Type="http://schemas.openxmlformats.org/officeDocument/2006/relationships/hyperlink" Target="https://savitrigroup.in/products/rice/special-rice/ashirvaad-premium/hmt-rice-2/" TargetMode="External" Id="rId52"/><Relationship Type="http://schemas.openxmlformats.org/officeDocument/2006/relationships/hyperlink" Target="https://savitrigroup.in/wp-content/uploads/2018/02/premium-3.jpg" TargetMode="External" Id="rId53"/><Relationship Type="http://schemas.openxmlformats.org/officeDocument/2006/relationships/hyperlink" Target="https://savitrigroup.in/products/rice/special-rice/ashirvaad-premium/hmt-rice-3/" TargetMode="External" Id="rId54"/><Relationship Type="http://schemas.openxmlformats.org/officeDocument/2006/relationships/hyperlink" Target="https://savitrigroup.in/wp-content/uploads/2018/02/indian-special-1.jpg" TargetMode="External" Id="rId55"/><Relationship Type="http://schemas.openxmlformats.org/officeDocument/2006/relationships/hyperlink" Target="https://savitrigroup.in/products/rice/special-rice/ashirvaad-indian-special/kolam-rice-1/" TargetMode="External" Id="rId56"/><Relationship Type="http://schemas.openxmlformats.org/officeDocument/2006/relationships/hyperlink" Target="https://savitrigroup.in/wp-content/uploads/2018/02/indian-special-2.jpg" TargetMode="External" Id="rId57"/><Relationship Type="http://schemas.openxmlformats.org/officeDocument/2006/relationships/hyperlink" Target="https://savitrigroup.in/products/rice/special-rice/ashirvaad-indian-special/kolam-rice-2/" TargetMode="External" Id="rId58"/><Relationship Type="http://schemas.openxmlformats.org/officeDocument/2006/relationships/hyperlink" Target="https://savitrigroup.in/wp-content/uploads/2018/02/indian-special-3.jpg" TargetMode="External" Id="rId59"/><Relationship Type="http://schemas.openxmlformats.org/officeDocument/2006/relationships/hyperlink" Target="https://savitrigroup.in/products/rice/special-rice/ashirvaad-indian-special/kolam-rice-3/" TargetMode="External" Id="rId60"/><Relationship Type="http://schemas.openxmlformats.org/officeDocument/2006/relationships/hyperlink" Target="https://savitrigroup.in/wp-content/uploads/2021/08/Indian-Special.png" TargetMode="External" Id="rId61"/><Relationship Type="http://schemas.openxmlformats.org/officeDocument/2006/relationships/hyperlink" Target="https://savitrigroup.in/products/rice/special-rice/ashirvaad-indian-special/kolam-rice-4/" TargetMode="External" Id="rId62"/><Relationship Type="http://schemas.openxmlformats.org/officeDocument/2006/relationships/hyperlink" Target="https://savitrigroup.in/wp-content/uploads/2021/08/Sanjeevani-1.png" TargetMode="External" Id="rId63"/><Relationship Type="http://schemas.openxmlformats.org/officeDocument/2006/relationships/hyperlink" Target="https://savitrigroup.in/products/rice/special-rice/ashirvaad-sanjeevani/jeera-rice-1/" TargetMode="External" Id="rId64"/><Relationship Type="http://schemas.openxmlformats.org/officeDocument/2006/relationships/hyperlink" Target="https://savitrigroup.in/wp-content/uploads/2021/08/Sanjeevani-2.png" TargetMode="External" Id="rId65"/><Relationship Type="http://schemas.openxmlformats.org/officeDocument/2006/relationships/hyperlink" Target="https://savitrigroup.in/products/rice/special-rice/ashirvaad-sanjeevani/jeera-rice-2/" TargetMode="External" Id="rId66"/><Relationship Type="http://schemas.openxmlformats.org/officeDocument/2006/relationships/hyperlink" Target="https://savitrigroup.in/wp-content/uploads/2021/08/Sanjeevani-4.png" TargetMode="External" Id="rId67"/><Relationship Type="http://schemas.openxmlformats.org/officeDocument/2006/relationships/hyperlink" Target="https://savitrigroup.in/products/rice/special-rice/ashirvaad-sanjeevani/jeera-rice-3/" TargetMode="External" Id="rId68"/><Relationship Type="http://schemas.openxmlformats.org/officeDocument/2006/relationships/hyperlink" Target="https://savitrigroup.in/wp-content/uploads/2021/08/Sanjeevani-3.png" TargetMode="External" Id="rId69"/><Relationship Type="http://schemas.openxmlformats.org/officeDocument/2006/relationships/hyperlink" Target="https://savitrigroup.in/products/rice/special-rice/ashirvaad-sanjeevani/jeera-rice-4/" TargetMode="External" Id="rId70"/><Relationship Type="http://schemas.openxmlformats.org/officeDocument/2006/relationships/hyperlink" Target="https://savitrigroup.in/wp-content/uploads/2025/04/krupa-sambramam-blue.jpg" TargetMode="External" Id="rId71"/><Relationship Type="http://schemas.openxmlformats.org/officeDocument/2006/relationships/hyperlink" Target="https://savitrigroup.in/wp-content/uploads/2025/04/krupa-sambramam-green.jpg" TargetMode="External" Id="rId72"/><Relationship Type="http://schemas.openxmlformats.org/officeDocument/2006/relationships/hyperlink" Target="https://savitrigroup.in/wp-content/uploads/2025/04/krupa-sambramam-red.jpg" TargetMode="External" Id="rId73"/><Relationship Type="http://schemas.openxmlformats.org/officeDocument/2006/relationships/hyperlink" Target="https://savitrigroup.in/wp-content/uploads/2018/02/amruth-1.jpg" TargetMode="External" Id="rId74"/><Relationship Type="http://schemas.openxmlformats.org/officeDocument/2006/relationships/hyperlink" Target="https://savitrigroup.in/products/rice/consumer-rice-range/amruth-gold/enrich-1/" TargetMode="External" Id="rId75"/><Relationship Type="http://schemas.openxmlformats.org/officeDocument/2006/relationships/hyperlink" Target="https://savitrigroup.in/wp-content/uploads/2018/02/amruth-2.jpg" TargetMode="External" Id="rId76"/><Relationship Type="http://schemas.openxmlformats.org/officeDocument/2006/relationships/hyperlink" Target="https://savitrigroup.in/products/rice/consumer-rice-range/amruth-gold/enrich-2/" TargetMode="External" Id="rId77"/><Relationship Type="http://schemas.openxmlformats.org/officeDocument/2006/relationships/hyperlink" Target="https://savitrigroup.in/wp-content/uploads/2018/02/amruth-3.jpg" TargetMode="External" Id="rId78"/><Relationship Type="http://schemas.openxmlformats.org/officeDocument/2006/relationships/hyperlink" Target="https://savitrigroup.in/products/rice/consumer-rice-range/amruth-gold/enrich-3/" TargetMode="External" Id="rId79"/><Relationship Type="http://schemas.openxmlformats.org/officeDocument/2006/relationships/hyperlink" Target="https://savitrigroup.in/wp-content/uploads/2021/08/Amruth-Gold.png" TargetMode="External" Id="rId80"/><Relationship Type="http://schemas.openxmlformats.org/officeDocument/2006/relationships/hyperlink" Target="https://savitrigroup.in/products/rice/consumer-rice-range/amruth-gold/enrich-4/" TargetMode="External" Id="rId81"/><Relationship Type="http://schemas.openxmlformats.org/officeDocument/2006/relationships/hyperlink" Target="https://savitrigroup.in/wp-content/uploads/2025/04/avani-blue.jpg" TargetMode="External" Id="rId82"/><Relationship Type="http://schemas.openxmlformats.org/officeDocument/2006/relationships/hyperlink" Target="https://savitrigroup.in/wp-content/uploads/2025/04/avani-green.jpg" TargetMode="External" Id="rId83"/><Relationship Type="http://schemas.openxmlformats.org/officeDocument/2006/relationships/hyperlink" Target="https://savitrigroup.in/wp-content/uploads/2025/04/avani-red.jpg" TargetMode="External" Id="rId84"/><Relationship Type="http://schemas.openxmlformats.org/officeDocument/2006/relationships/hyperlink" Target="https://savitrigroup.in/wp-content/uploads/2018/02/akshata-1.jpg" TargetMode="External" Id="rId85"/><Relationship Type="http://schemas.openxmlformats.org/officeDocument/2006/relationships/hyperlink" Target="https://savitrigroup.in/products/rice/consumer-rice-range/akshata/bless-of-life-1/" TargetMode="External" Id="rId86"/><Relationship Type="http://schemas.openxmlformats.org/officeDocument/2006/relationships/hyperlink" Target="https://savitrigroup.in/wp-content/uploads/2018/02/akshata-2.jpg" TargetMode="External" Id="rId87"/><Relationship Type="http://schemas.openxmlformats.org/officeDocument/2006/relationships/hyperlink" Target="https://savitrigroup.in/products/rice/consumer-rice-range/akshata/bless-of-life-2/" TargetMode="External" Id="rId88"/><Relationship Type="http://schemas.openxmlformats.org/officeDocument/2006/relationships/hyperlink" Target="https://savitrigroup.in/wp-content/uploads/2018/02/akshata-3.jpg" TargetMode="External" Id="rId89"/><Relationship Type="http://schemas.openxmlformats.org/officeDocument/2006/relationships/hyperlink" Target="https://savitrigroup.in/products/rice/consumer-rice-range/akshata/bless-of-life-3/" TargetMode="External" Id="rId90"/><Relationship Type="http://schemas.openxmlformats.org/officeDocument/2006/relationships/hyperlink" Target="https://savitrigroup.in/wp-content/uploads/2021/08/Akshata.png" TargetMode="External" Id="rId91"/><Relationship Type="http://schemas.openxmlformats.org/officeDocument/2006/relationships/hyperlink" Target="https://savitrigroup.in/products/rice/consumer-rice-range/akshata/bless-of-life-4/" TargetMode="External" Id="rId92"/><Relationship Type="http://schemas.openxmlformats.org/officeDocument/2006/relationships/hyperlink" Target="https://savitrigroup.in/wp-content/uploads/2025/04/akshaya-silk-blue.jpg" TargetMode="External" Id="rId93"/><Relationship Type="http://schemas.openxmlformats.org/officeDocument/2006/relationships/hyperlink" Target="https://savitrigroup.in/wp-content/uploads/2025/04/akshaya-silk-green.jpg" TargetMode="External" Id="rId94"/><Relationship Type="http://schemas.openxmlformats.org/officeDocument/2006/relationships/hyperlink" Target="https://savitrigroup.in/wp-content/uploads/2025/04/akshaya-silk-red.jpg" TargetMode="External" Id="rId95"/><Relationship Type="http://schemas.openxmlformats.org/officeDocument/2006/relationships/hyperlink" Target="https://savitrigroup.in/wp-content/uploads/2018/02/family-1.jpg" TargetMode="External" Id="rId96"/><Relationship Type="http://schemas.openxmlformats.org/officeDocument/2006/relationships/hyperlink" Target="https://savitrigroup.in/products/rice/economical-rice-range/family/everyone-choice-1/" TargetMode="External" Id="rId97"/><Relationship Type="http://schemas.openxmlformats.org/officeDocument/2006/relationships/hyperlink" Target="https://savitrigroup.in/wp-content/uploads/2018/11/family-2.jpg" TargetMode="External" Id="rId98"/><Relationship Type="http://schemas.openxmlformats.org/officeDocument/2006/relationships/hyperlink" Target="https://savitrigroup.in/products/rice/economical-rice-range/family/everyone-choice-2/" TargetMode="External" Id="rId99"/><Relationship Type="http://schemas.openxmlformats.org/officeDocument/2006/relationships/hyperlink" Target="https://savitrigroup.in/wp-content/uploads/2018/11/family-3.jpg" TargetMode="External" Id="rId100"/><Relationship Type="http://schemas.openxmlformats.org/officeDocument/2006/relationships/hyperlink" Target="https://savitrigroup.in/products/rice/economical-rice-range/family/everyone-choice-3/" TargetMode="External" Id="rId101"/><Relationship Type="http://schemas.openxmlformats.org/officeDocument/2006/relationships/hyperlink" Target="https://savitrigroup.in/wp-content/uploads/2018/11/family-4.jpg" TargetMode="External" Id="rId102"/><Relationship Type="http://schemas.openxmlformats.org/officeDocument/2006/relationships/hyperlink" Target="https://savitrigroup.in/products/rice/economical-rice-range/family/everyone-choice-4/" TargetMode="External" Id="rId103"/><Relationship Type="http://schemas.openxmlformats.org/officeDocument/2006/relationships/hyperlink" Target="https://savitrigroup.in/wp-content/uploads/2025/04/kutumbh-blue.jpg" TargetMode="External" Id="rId104"/><Relationship Type="http://schemas.openxmlformats.org/officeDocument/2006/relationships/hyperlink" Target="https://savitrigroup.in/wp-content/uploads/2025/04/kutumbh-green.jpg" TargetMode="External" Id="rId105"/><Relationship Type="http://schemas.openxmlformats.org/officeDocument/2006/relationships/hyperlink" Target="https://savitrigroup.in/wp-content/uploads/2025/04/kutumbh-red.jpg" TargetMode="External" Id="rId106"/><Relationship Type="http://schemas.openxmlformats.org/officeDocument/2006/relationships/hyperlink" Target="https://savitrigroup.in/wp-content/uploads/2018/02/auysh-1.jpg" TargetMode="External" Id="rId107"/><Relationship Type="http://schemas.openxmlformats.org/officeDocument/2006/relationships/hyperlink" Target="https://savitrigroup.in/products/rice/economical-rice-range/ayush/power-to-life-1/" TargetMode="External" Id="rId108"/><Relationship Type="http://schemas.openxmlformats.org/officeDocument/2006/relationships/hyperlink" Target="https://savitrigroup.in/wp-content/uploads/2018/02/auysh-2.jpg" TargetMode="External" Id="rId109"/><Relationship Type="http://schemas.openxmlformats.org/officeDocument/2006/relationships/hyperlink" Target="https://savitrigroup.in/products/rice/economical-rice-range/ayush/power-to-life-2/" TargetMode="External" Id="rId110"/><Relationship Type="http://schemas.openxmlformats.org/officeDocument/2006/relationships/hyperlink" Target="https://savitrigroup.in/wp-content/uploads/2018/02/auysh-3.jpg" TargetMode="External" Id="rId111"/><Relationship Type="http://schemas.openxmlformats.org/officeDocument/2006/relationships/hyperlink" Target="https://savitrigroup.in/products/rice/economical-rice-range/ayush/power-to-life-3/" TargetMode="External" Id="rId112"/><Relationship Type="http://schemas.openxmlformats.org/officeDocument/2006/relationships/hyperlink" Target="https://savitrigroup.in/wp-content/uploads/2025/04/krupa-blue.jpg" TargetMode="External" Id="rId113"/><Relationship Type="http://schemas.openxmlformats.org/officeDocument/2006/relationships/hyperlink" Target="https://savitrigroup.in/wp-content/uploads/2025/04/krupa-green.jpg" TargetMode="External" Id="rId114"/><Relationship Type="http://schemas.openxmlformats.org/officeDocument/2006/relationships/hyperlink" Target="https://savitrigroup.in/wp-content/uploads/2025/04/krupa-red.jpg" TargetMode="External" Id="rId115"/><Relationship Type="http://schemas.openxmlformats.org/officeDocument/2006/relationships/hyperlink" Target="https://savitrigroup.in/wp-content/uploads/2018/02/ajanta-1.jpg" TargetMode="External" Id="rId116"/><Relationship Type="http://schemas.openxmlformats.org/officeDocument/2006/relationships/hyperlink" Target="https://savitrigroup.in/products/rice/economical-rice-range/ajantha/just-the-best-1/" TargetMode="External" Id="rId117"/><Relationship Type="http://schemas.openxmlformats.org/officeDocument/2006/relationships/hyperlink" Target="https://savitrigroup.in/wp-content/uploads/2018/02/ajanta-2.jpg" TargetMode="External" Id="rId118"/><Relationship Type="http://schemas.openxmlformats.org/officeDocument/2006/relationships/hyperlink" Target="https://savitrigroup.in/products/rice/economical-rice-range/ajantha/just-the-best-2/" TargetMode="External" Id="rId119"/><Relationship Type="http://schemas.openxmlformats.org/officeDocument/2006/relationships/hyperlink" Target="https://savitrigroup.in/wp-content/uploads/2018/02/ajanta-3.jpg" TargetMode="External" Id="rId120"/><Relationship Type="http://schemas.openxmlformats.org/officeDocument/2006/relationships/hyperlink" Target="https://savitrigroup.in/products/rice/economical-rice-range/ajantha/just-the-best-3/" TargetMode="External" Id="rId121"/><Relationship Type="http://schemas.openxmlformats.org/officeDocument/2006/relationships/hyperlink" Target="https://savitrigroup.in/wp-content/uploads/2018/02/elephanta-1.jpg" TargetMode="External" Id="rId122"/><Relationship Type="http://schemas.openxmlformats.org/officeDocument/2006/relationships/hyperlink" Target="https://savitrigroup.in/products/rice/economical-rice-range/elephanta/eat-strong-1/" TargetMode="External" Id="rId123"/><Relationship Type="http://schemas.openxmlformats.org/officeDocument/2006/relationships/hyperlink" Target="https://savitrigroup.in/wp-content/uploads/2018/02/elephanta-2.jpg" TargetMode="External" Id="rId124"/><Relationship Type="http://schemas.openxmlformats.org/officeDocument/2006/relationships/hyperlink" Target="https://savitrigroup.in/products/rice/economical-rice-range/elephanta/eat-strong-2/" TargetMode="External" Id="rId125"/><Relationship Type="http://schemas.openxmlformats.org/officeDocument/2006/relationships/hyperlink" Target="https://savitrigroup.in/wp-content/uploads/2018/02/elephanta-3.jpg" TargetMode="External" Id="rId126"/><Relationship Type="http://schemas.openxmlformats.org/officeDocument/2006/relationships/hyperlink" Target="https://savitrigroup.in/products/rice/economical-rice-range/elephanta/eat-strong-3/" TargetMode="External" Id="rId127"/><Relationship Type="http://schemas.openxmlformats.org/officeDocument/2006/relationships/hyperlink" Target="https://savitrigroup.in/wp-content/uploads/2018/02/ellora-1.jpg" TargetMode="External" Id="rId128"/><Relationship Type="http://schemas.openxmlformats.org/officeDocument/2006/relationships/hyperlink" Target="https://savitrigroup.in/products/rice/economical-rice-range/ellora/strong-and-beautiful-1/" TargetMode="External" Id="rId129"/><Relationship Type="http://schemas.openxmlformats.org/officeDocument/2006/relationships/hyperlink" Target="https://savitrigroup.in/wp-content/uploads/2018/02/ellora-2.jpg" TargetMode="External" Id="rId130"/><Relationship Type="http://schemas.openxmlformats.org/officeDocument/2006/relationships/hyperlink" Target="https://savitrigroup.in/products/rice/economical-rice-range/ellora/strong-and-beautiful-2/" TargetMode="External" Id="rId131"/><Relationship Type="http://schemas.openxmlformats.org/officeDocument/2006/relationships/hyperlink" Target="https://savitrigroup.in/wp-content/uploads/2018/02/ellora-3.jpg" TargetMode="External" Id="rId132"/><Relationship Type="http://schemas.openxmlformats.org/officeDocument/2006/relationships/hyperlink" Target="https://savitrigroup.in/products/rice/economical-rice-range/ellora/strong-and-beautiful-3/" TargetMode="External" Id="rId133"/><Relationship Type="http://schemas.openxmlformats.org/officeDocument/2006/relationships/hyperlink" Target="https://savitrigroup.in/wp-content/uploads/2025/04/ship-green.jpg" TargetMode="External" Id="rId134"/><Relationship Type="http://schemas.openxmlformats.org/officeDocument/2006/relationships/hyperlink" Target="https://savitrigroup.in/wp-content/uploads/2025/04/ship-purple.jpg" TargetMode="External" Id="rId135"/><Relationship Type="http://schemas.openxmlformats.org/officeDocument/2006/relationships/hyperlink" Target="https://savitrigroup.in/wp-content/uploads/2025/04/ship-red.jpg" TargetMode="External" Id="rId136"/><Relationship Type="http://schemas.openxmlformats.org/officeDocument/2006/relationships/hyperlink" Target="https://savitrigroup.in/wp-content/uploads/2025/04/train-blue.jpg" TargetMode="External" Id="rId137"/><Relationship Type="http://schemas.openxmlformats.org/officeDocument/2006/relationships/hyperlink" Target="https://savitrigroup.in/wp-content/uploads/2025/04/train-green.jpg" TargetMode="External" Id="rId138"/><Relationship Type="http://schemas.openxmlformats.org/officeDocument/2006/relationships/hyperlink" Target="https://savitrigroup.in/wp-content/uploads/2025/04/train-red.jpg" TargetMode="External" Id="rId139"/><Relationship Type="http://schemas.openxmlformats.org/officeDocument/2006/relationships/hyperlink" Target="https://savitrigroup.in/wp-content/uploads/2018/02/lorry-1.jpg" TargetMode="External" Id="rId140"/><Relationship Type="http://schemas.openxmlformats.org/officeDocument/2006/relationships/hyperlink" Target="https://savitrigroup.in/products/rice/broken-rice-range/lorry/takes-good-care-1/" TargetMode="External" Id="rId141"/><Relationship Type="http://schemas.openxmlformats.org/officeDocument/2006/relationships/hyperlink" Target="https://savitrigroup.in/wp-content/uploads/2018/02/lorry-2.jpg" TargetMode="External" Id="rId142"/><Relationship Type="http://schemas.openxmlformats.org/officeDocument/2006/relationships/hyperlink" Target="https://savitrigroup.in/products/rice/broken-rice-range/lorry/takes-good-care-2/" TargetMode="External" Id="rId143"/><Relationship Type="http://schemas.openxmlformats.org/officeDocument/2006/relationships/hyperlink" Target="https://savitrigroup.in/wp-content/uploads/2018/02/lorry-3.jpg" TargetMode="External" Id="rId144"/><Relationship Type="http://schemas.openxmlformats.org/officeDocument/2006/relationships/hyperlink" Target="https://savitrigroup.in/products/rice/broken-rice-range/lorry/takes-good-care-3/" TargetMode="External" Id="rId145"/><Relationship Type="http://schemas.openxmlformats.org/officeDocument/2006/relationships/hyperlink" Target="https://savitrigroup.in/wp-content/uploads/2018/02/lorry-4.jpg" TargetMode="External" Id="rId146"/><Relationship Type="http://schemas.openxmlformats.org/officeDocument/2006/relationships/hyperlink" Target="https://savitrigroup.in/products/rice/broken-rice-range/lorry/takes-good-care-4/" TargetMode="External" Id="rId147"/><Relationship Type="http://schemas.openxmlformats.org/officeDocument/2006/relationships/hyperlink" Target="https://savitrigroup.in/wp-content/uploads/2018/02/lorry-5.jpg" TargetMode="External" Id="rId148"/><Relationship Type="http://schemas.openxmlformats.org/officeDocument/2006/relationships/hyperlink" Target="https://savitrigroup.in/products/rice/broken-rice-range/lorry/takes-good-care-5/" TargetMode="External" Id="rId149"/><Relationship Type="http://schemas.openxmlformats.org/officeDocument/2006/relationships/hyperlink" Target="https://savitrigroup.in/wp-content/uploads/2018/02/lorry-6.jpg" TargetMode="External" Id="rId150"/><Relationship Type="http://schemas.openxmlformats.org/officeDocument/2006/relationships/hyperlink" Target="https://savitrigroup.in/products/rice/broken-rice-range/lorry/takes-good-care-6/" TargetMode="External" Id="rId151"/><Relationship Type="http://schemas.openxmlformats.org/officeDocument/2006/relationships/hyperlink" Target="https://savitrigroup.in/wp-content/uploads/2018/02/tractor-1.jpg" TargetMode="External" Id="rId152"/><Relationship Type="http://schemas.openxmlformats.org/officeDocument/2006/relationships/hyperlink" Target="https://savitrigroup.in/products/rice/broken-rice-range/tractor/hmt-steam-broken-1/" TargetMode="External" Id="rId153"/><Relationship Type="http://schemas.openxmlformats.org/officeDocument/2006/relationships/hyperlink" Target="https://savitrigroup.in/wp-content/uploads/2018/02/tractor-2.jpg" TargetMode="External" Id="rId154"/><Relationship Type="http://schemas.openxmlformats.org/officeDocument/2006/relationships/hyperlink" Target="https://savitrigroup.in/products/rice/broken-rice-range/tractor/hmt-steam-broken-2/" TargetMode="External" Id="rId155"/><Relationship Type="http://schemas.openxmlformats.org/officeDocument/2006/relationships/hyperlink" Target="https://savitrigroup.in/wp-content/uploads/2018/02/tractor-3.jpg" TargetMode="External" Id="rId156"/><Relationship Type="http://schemas.openxmlformats.org/officeDocument/2006/relationships/hyperlink" Target="https://savitrigroup.in/products/rice/broken-rice-range/tractor/hmt-steam-broken-3/" TargetMode="External" Id="rId157"/><Relationship Type="http://schemas.openxmlformats.org/officeDocument/2006/relationships/hyperlink" Target="https://savitrigroup.in/wp-content/uploads/2018/02/tractor-4.jpg" TargetMode="External" Id="rId158"/><Relationship Type="http://schemas.openxmlformats.org/officeDocument/2006/relationships/hyperlink" Target="https://savitrigroup.in/products/rice/broken-rice-range/tractor/hmt-steam-broken-4/" TargetMode="External" Id="rId159"/><Relationship Type="http://schemas.openxmlformats.org/officeDocument/2006/relationships/hyperlink" Target="https://savitrigroup.in/wp-content/uploads/2018/02/tractor-5.jpg" TargetMode="External" Id="rId160"/><Relationship Type="http://schemas.openxmlformats.org/officeDocument/2006/relationships/hyperlink" Target="https://savitrigroup.in/products/rice/broken-rice-range/tractor/hmt-steam-broken-5/" TargetMode="External" Id="rId161"/><Relationship Type="http://schemas.openxmlformats.org/officeDocument/2006/relationships/hyperlink" Target="https://savitrigroup.in/wp-content/uploads/2018/02/tractor-6.jpg" TargetMode="External" Id="rId162"/><Relationship Type="http://schemas.openxmlformats.org/officeDocument/2006/relationships/hyperlink" Target="https://savitrigroup.in/products/rice/broken-rice-range/tractor/hmt-steam-broken-6/" TargetMode="External" Id="rId163"/><Relationship Type="http://schemas.openxmlformats.org/officeDocument/2006/relationships/hyperlink" Target="https://savitrigroup.in/wp-content/uploads/2018/02/auto-1.jpg" TargetMode="External" Id="rId164"/><Relationship Type="http://schemas.openxmlformats.org/officeDocument/2006/relationships/hyperlink" Target="https://savitrigroup.in/products/rice/broken-rice-range/auto/old-sona-broken-rice-1/" TargetMode="External" Id="rId165"/><Relationship Type="http://schemas.openxmlformats.org/officeDocument/2006/relationships/hyperlink" Target="https://savitrigroup.in/wp-content/uploads/2018/02/auto-2.jpg" TargetMode="External" Id="rId166"/><Relationship Type="http://schemas.openxmlformats.org/officeDocument/2006/relationships/hyperlink" Target="https://savitrigroup.in/products/rice/broken-rice-range/auto/old-sona-broken-rice-2/" TargetMode="External" Id="rId167"/><Relationship Type="http://schemas.openxmlformats.org/officeDocument/2006/relationships/hyperlink" Target="https://savitrigroup.in/wp-content/uploads/2018/02/auto-3.jpg" TargetMode="External" Id="rId168"/><Relationship Type="http://schemas.openxmlformats.org/officeDocument/2006/relationships/hyperlink" Target="https://savitrigroup.in/products/rice/broken-rice-range/auto/old-sona-broken-rice-3/" TargetMode="External" Id="rId169"/><Relationship Type="http://schemas.openxmlformats.org/officeDocument/2006/relationships/hyperlink" Target="https://savitrigroup.in/wp-content/uploads/2018/02/scooter-1.jpg" TargetMode="External" Id="rId170"/><Relationship Type="http://schemas.openxmlformats.org/officeDocument/2006/relationships/hyperlink" Target="https://savitrigroup.in/products/rice/broken-rice-range/scooter/broken-rice-1/" TargetMode="External" Id="rId171"/><Relationship Type="http://schemas.openxmlformats.org/officeDocument/2006/relationships/hyperlink" Target="https://savitrigroup.in/wp-content/uploads/2018/02/scooter-2.jpg" TargetMode="External" Id="rId172"/><Relationship Type="http://schemas.openxmlformats.org/officeDocument/2006/relationships/hyperlink" Target="https://savitrigroup.in/products/rice/broken-rice-range/scooter/broken-rice-2/" TargetMode="External" Id="rId173"/><Relationship Type="http://schemas.openxmlformats.org/officeDocument/2006/relationships/hyperlink" Target="https://savitrigroup.in/wp-content/uploads/2018/02/scooter-3.jpg" TargetMode="External" Id="rId174"/><Relationship Type="http://schemas.openxmlformats.org/officeDocument/2006/relationships/hyperlink" Target="https://savitrigroup.in/products/rice/broken-rice-range/scooter/broken-rice-3/" TargetMode="External" Id="rId175"/><Relationship Type="http://schemas.openxmlformats.org/officeDocument/2006/relationships/hyperlink" Target="https://savitrigroup.in/wp-content/uploads/2018/02/kangaroo-1.jpg" TargetMode="External" Id="rId176"/><Relationship Type="http://schemas.openxmlformats.org/officeDocument/2006/relationships/hyperlink" Target="https://savitrigroup.in/products/rice/broken-rice-range/kangaroo/feel-good-1/" TargetMode="External" Id="rId177"/><Relationship Type="http://schemas.openxmlformats.org/officeDocument/2006/relationships/hyperlink" Target="https://savitrigroup.in/wp-content/uploads/2018/02/kangaroo-2.jpg" TargetMode="External" Id="rId178"/><Relationship Type="http://schemas.openxmlformats.org/officeDocument/2006/relationships/hyperlink" Target="https://savitrigroup.in/products/rice/broken-rice-range/kangaroo/feel-good-2/" TargetMode="External" Id="rId179"/><Relationship Type="http://schemas.openxmlformats.org/officeDocument/2006/relationships/hyperlink" Target="https://savitrigroup.in/wp-content/uploads/2018/02/kangaroo-3.jpg" TargetMode="External" Id="rId180"/><Relationship Type="http://schemas.openxmlformats.org/officeDocument/2006/relationships/hyperlink" Target="https://savitrigroup.in/products/rice/broken-rice-range/kangaroo/feel-good-3/" TargetMode="External" Id="rId1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16" customWidth="1" min="4" max="4"/>
    <col width="34" customWidth="1" min="5" max="5"/>
    <col width="10" customWidth="1" min="6" max="6"/>
    <col width="22" customWidth="1" min="7" max="7"/>
    <col width="60" customWidth="1" min="8" max="8"/>
    <col width="60" customWidth="1" min="9" max="9"/>
  </cols>
  <sheetData>
    <row r="1" ht="28" customHeight="1">
      <c r="A1" s="1" t="inlineStr">
        <is>
          <t>#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Rice Type</t>
        </is>
      </c>
      <c r="E1" s="1" t="inlineStr">
        <is>
          <t>Tagline</t>
        </is>
      </c>
      <c r="F1" s="1" t="inlineStr">
        <is>
          <t>Variants</t>
        </is>
      </c>
      <c r="G1" s="1" t="inlineStr">
        <is>
          <t>Image</t>
        </is>
      </c>
      <c r="H1" s="1" t="inlineStr">
        <is>
          <t>Product Page URL</t>
        </is>
      </c>
      <c r="I1" s="1" t="inlineStr">
        <is>
          <t>Image URL</t>
        </is>
      </c>
    </row>
    <row r="2" ht="90" customHeight="1">
      <c r="A2" s="2" t="n">
        <v>1</v>
      </c>
      <c r="B2" s="3" t="inlineStr">
        <is>
          <t>Savitri Ashirvaad</t>
        </is>
      </c>
      <c r="C2" s="3" t="inlineStr">
        <is>
          <t>Premium Rice</t>
        </is>
      </c>
      <c r="D2" s="3" t="inlineStr">
        <is>
          <t>Sona Masuri</t>
        </is>
      </c>
      <c r="E2" s="3" t="inlineStr">
        <is>
          <t>Taste the difference</t>
        </is>
      </c>
      <c r="F2" s="2">
        <f>COUNTIF(Variants!$A$2:$A$107,B2)</f>
        <v/>
      </c>
      <c r="G2" s="2">
        <f>_xlfn.IMAGE("https://savitrigroup.in/wp-content/uploads/2018/02/ashirvaad-1.jpg")</f>
        <v/>
      </c>
      <c r="H2" s="4" t="inlineStr">
        <is>
          <t>https://savitrigroup.in/products/rice/premium-rice/savitri-ashirvaad/</t>
        </is>
      </c>
      <c r="I2" s="4" t="inlineStr">
        <is>
          <t>https://savitrigroup.in/wp-content/uploads/2018/02/ashirvaad-1.jpg</t>
        </is>
      </c>
    </row>
    <row r="3" ht="90" customHeight="1">
      <c r="A3" s="2" t="n">
        <v>2</v>
      </c>
      <c r="B3" s="3" t="inlineStr">
        <is>
          <t>Savitri Anugrahaa</t>
        </is>
      </c>
      <c r="C3" s="3" t="inlineStr">
        <is>
          <t>Premium Rice</t>
        </is>
      </c>
      <c r="D3" s="3" t="inlineStr">
        <is>
          <t>Sona Masuri</t>
        </is>
      </c>
      <c r="E3" s="3" t="inlineStr">
        <is>
          <t>Traditional rice of India</t>
        </is>
      </c>
      <c r="F3" s="2">
        <f>COUNTIF(Variants!$A$2:$A$107,B3)</f>
        <v/>
      </c>
      <c r="G3" s="2">
        <f>_xlfn.IMAGE("https://savitrigroup.in/wp-content/uploads/2025/07/savitri_anugraha-green.jpg")</f>
        <v/>
      </c>
      <c r="H3" s="4" t="inlineStr">
        <is>
          <t>https://savitrigroup.in/products/rice/premium-rice/savitri-anugrahaa/</t>
        </is>
      </c>
      <c r="I3" s="4" t="inlineStr">
        <is>
          <t>https://savitrigroup.in/wp-content/uploads/2025/07/savitri_anugraha-green.jpg</t>
        </is>
      </c>
    </row>
    <row r="4" ht="90" customHeight="1">
      <c r="A4" s="2" t="n">
        <v>3</v>
      </c>
      <c r="B4" s="3" t="inlineStr">
        <is>
          <t>Abhivrudhi</t>
        </is>
      </c>
      <c r="C4" s="3" t="inlineStr">
        <is>
          <t>Premium Rice</t>
        </is>
      </c>
      <c r="D4" s="3" t="inlineStr">
        <is>
          <t>Sona Masuri</t>
        </is>
      </c>
      <c r="E4" s="3" t="inlineStr">
        <is>
          <t>Traditional rice of India</t>
        </is>
      </c>
      <c r="F4" s="2">
        <f>COUNTIF(Variants!$A$2:$A$107,B4)</f>
        <v/>
      </c>
      <c r="G4" s="2">
        <f>_xlfn.IMAGE("https://savitrigroup.in/wp-content/uploads/2025/04/abhivrudhi-bronze.jpg")</f>
        <v/>
      </c>
      <c r="H4" s="4" t="inlineStr">
        <is>
          <t>https://savitrigroup.in/products/rice/premium-rice/abhivrudhi/</t>
        </is>
      </c>
      <c r="I4" s="4" t="inlineStr">
        <is>
          <t>https://savitrigroup.in/wp-content/uploads/2025/04/abhivrudhi-bronze.jpg</t>
        </is>
      </c>
    </row>
    <row r="5" ht="90" customHeight="1">
      <c r="A5" s="2" t="n">
        <v>4</v>
      </c>
      <c r="B5" s="3" t="inlineStr">
        <is>
          <t>Savitri Ashirvaad Premium</t>
        </is>
      </c>
      <c r="C5" s="3" t="inlineStr">
        <is>
          <t>Special Rice</t>
        </is>
      </c>
      <c r="D5" s="3" t="inlineStr">
        <is>
          <t>HMT</t>
        </is>
      </c>
      <c r="E5" s="3" t="inlineStr">
        <is>
          <t>Treasure of taste</t>
        </is>
      </c>
      <c r="F5" s="2">
        <f>COUNTIF(Variants!$A$2:$A$107,B5)</f>
        <v/>
      </c>
      <c r="G5" s="2">
        <f>_xlfn.IMAGE("https://savitrigroup.in/wp-content/uploads/2018/02/premium-1.jpg")</f>
        <v/>
      </c>
      <c r="H5" s="4" t="inlineStr">
        <is>
          <t>https://savitrigroup.in/products/rice/special-rice/ashirvaad-premium/</t>
        </is>
      </c>
      <c r="I5" s="4" t="inlineStr">
        <is>
          <t>https://savitrigroup.in/wp-content/uploads/2018/02/premium-1.jpg</t>
        </is>
      </c>
    </row>
    <row r="6" ht="90" customHeight="1">
      <c r="A6" s="2" t="n">
        <v>5</v>
      </c>
      <c r="B6" s="3" t="inlineStr">
        <is>
          <t>Savitri Ashirvaad Indian Special</t>
        </is>
      </c>
      <c r="C6" s="3" t="inlineStr">
        <is>
          <t>Special Rice</t>
        </is>
      </c>
      <c r="D6" s="3" t="inlineStr">
        <is>
          <t>Kolam</t>
        </is>
      </c>
      <c r="E6" s="3" t="inlineStr">
        <is>
          <t>Probably the best rice in the world</t>
        </is>
      </c>
      <c r="F6" s="2">
        <f>COUNTIF(Variants!$A$2:$A$107,B6)</f>
        <v/>
      </c>
      <c r="G6" s="2">
        <f>_xlfn.IMAGE("https://savitrigroup.in/wp-content/uploads/2018/02/indian-special-1.jpg")</f>
        <v/>
      </c>
      <c r="H6" s="4" t="inlineStr">
        <is>
          <t>https://savitrigroup.in/products/rice/special-rice/ashirvaad-indian-special/</t>
        </is>
      </c>
      <c r="I6" s="4" t="inlineStr">
        <is>
          <t>https://savitrigroup.in/wp-content/uploads/2018/02/indian-special-1.jpg</t>
        </is>
      </c>
    </row>
    <row r="7" ht="90" customHeight="1">
      <c r="A7" s="2" t="n">
        <v>6</v>
      </c>
      <c r="B7" s="3" t="inlineStr">
        <is>
          <t>Savitri Ashirvaad Sanjeevani</t>
        </is>
      </c>
      <c r="C7" s="3" t="inlineStr">
        <is>
          <t>Special Rice</t>
        </is>
      </c>
      <c r="D7" s="3" t="inlineStr">
        <is>
          <t>Jeera RNR/48</t>
        </is>
      </c>
      <c r="E7" s="3" t="inlineStr">
        <is>
          <t>Rice for life</t>
        </is>
      </c>
      <c r="F7" s="2">
        <f>COUNTIF(Variants!$A$2:$A$107,B7)</f>
        <v/>
      </c>
      <c r="G7" s="2">
        <f>_xlfn.IMAGE("https://savitrigroup.in/wp-content/uploads/2021/08/Sanjeevani-1.png")</f>
        <v/>
      </c>
      <c r="H7" s="4" t="inlineStr">
        <is>
          <t>https://savitrigroup.in/products/rice/special-rice/ashirvaad-sanjeevani/</t>
        </is>
      </c>
      <c r="I7" s="4" t="inlineStr">
        <is>
          <t>https://savitrigroup.in/wp-content/uploads/2021/08/Sanjeevani-1.png</t>
        </is>
      </c>
    </row>
    <row r="8" ht="90" customHeight="1">
      <c r="A8" s="2" t="n">
        <v>7</v>
      </c>
      <c r="B8" s="3" t="inlineStr">
        <is>
          <t>Sambramam</t>
        </is>
      </c>
      <c r="C8" s="3" t="inlineStr">
        <is>
          <t>Special Rice</t>
        </is>
      </c>
      <c r="D8" s="3" t="inlineStr">
        <is>
          <t>Jeera</t>
        </is>
      </c>
      <c r="E8" s="3" t="inlineStr">
        <is>
          <t>Premium quality rice</t>
        </is>
      </c>
      <c r="F8" s="2">
        <f>COUNTIF(Variants!$A$2:$A$107,B8)</f>
        <v/>
      </c>
      <c r="G8" s="2">
        <f>_xlfn.IMAGE("https://savitrigroup.in/wp-content/uploads/2025/04/krupa-sambramam-blue.jpg")</f>
        <v/>
      </c>
      <c r="H8" s="4" t="inlineStr">
        <is>
          <t>https://savitrigroup.in/products/rice/special-rice/sambramam/</t>
        </is>
      </c>
      <c r="I8" s="4" t="inlineStr">
        <is>
          <t>https://savitrigroup.in/wp-content/uploads/2025/04/krupa-sambramam-blue.jpg</t>
        </is>
      </c>
    </row>
    <row r="9" ht="90" customHeight="1">
      <c r="A9" s="2" t="n">
        <v>8</v>
      </c>
      <c r="B9" s="3" t="inlineStr">
        <is>
          <t>Amruth Gold</t>
        </is>
      </c>
      <c r="C9" s="3" t="inlineStr">
        <is>
          <t>Consumer Rice Range</t>
        </is>
      </c>
      <c r="D9" s="3" t="inlineStr">
        <is>
          <t>Sona Masuri</t>
        </is>
      </c>
      <c r="E9" s="3" t="inlineStr">
        <is>
          <t>Enrich your life</t>
        </is>
      </c>
      <c r="F9" s="2">
        <f>COUNTIF(Variants!$A$2:$A$107,B9)</f>
        <v/>
      </c>
      <c r="G9" s="2">
        <f>_xlfn.IMAGE("https://savitrigroup.in/wp-content/uploads/2018/02/amruth-1.jpg")</f>
        <v/>
      </c>
      <c r="H9" s="4" t="inlineStr">
        <is>
          <t>https://savitrigroup.in/products/rice/consumer-rice-range/amruth-gold/</t>
        </is>
      </c>
      <c r="I9" s="4" t="inlineStr">
        <is>
          <t>https://savitrigroup.in/wp-content/uploads/2018/02/amruth-1.jpg</t>
        </is>
      </c>
    </row>
    <row r="10" ht="90" customHeight="1">
      <c r="A10" s="2" t="n">
        <v>9</v>
      </c>
      <c r="B10" s="3" t="inlineStr">
        <is>
          <t>Avani</t>
        </is>
      </c>
      <c r="C10" s="3" t="inlineStr">
        <is>
          <t>Consumer Rice Range</t>
        </is>
      </c>
      <c r="D10" s="3" t="inlineStr">
        <is>
          <t>Jeera</t>
        </is>
      </c>
      <c r="E10" s="3" t="inlineStr">
        <is>
          <t>Premium quality rice</t>
        </is>
      </c>
      <c r="F10" s="2">
        <f>COUNTIF(Variants!$A$2:$A$107,B10)</f>
        <v/>
      </c>
      <c r="G10" s="2">
        <f>_xlfn.IMAGE("https://savitrigroup.in/wp-content/uploads/2025/04/avani-blue.jpg")</f>
        <v/>
      </c>
      <c r="H10" s="4" t="inlineStr">
        <is>
          <t>https://savitrigroup.in/products/rice/consumer-rice-range/avani/</t>
        </is>
      </c>
      <c r="I10" s="4" t="inlineStr">
        <is>
          <t>https://savitrigroup.in/wp-content/uploads/2025/04/avani-blue.jpg</t>
        </is>
      </c>
    </row>
    <row r="11" ht="90" customHeight="1">
      <c r="A11" s="2" t="n">
        <v>10</v>
      </c>
      <c r="B11" s="3" t="inlineStr">
        <is>
          <t>Akshata</t>
        </is>
      </c>
      <c r="C11" s="3" t="inlineStr">
        <is>
          <t>Consumer Rice Range</t>
        </is>
      </c>
      <c r="D11" s="3" t="inlineStr">
        <is>
          <t>Sona Masuri</t>
        </is>
      </c>
      <c r="E11" s="3" t="inlineStr">
        <is>
          <t>Bless of life</t>
        </is>
      </c>
      <c r="F11" s="2">
        <f>COUNTIF(Variants!$A$2:$A$107,B11)</f>
        <v/>
      </c>
      <c r="G11" s="2">
        <f>_xlfn.IMAGE("https://savitrigroup.in/wp-content/uploads/2018/02/akshata-1.jpg")</f>
        <v/>
      </c>
      <c r="H11" s="4" t="inlineStr">
        <is>
          <t>https://savitrigroup.in/products/rice/consumer-rice-range/akshata/</t>
        </is>
      </c>
      <c r="I11" s="4" t="inlineStr">
        <is>
          <t>https://savitrigroup.in/wp-content/uploads/2018/02/akshata-1.jpg</t>
        </is>
      </c>
    </row>
    <row r="12" ht="90" customHeight="1">
      <c r="A12" s="2" t="n">
        <v>11</v>
      </c>
      <c r="B12" s="3" t="inlineStr">
        <is>
          <t>Akshaya</t>
        </is>
      </c>
      <c r="C12" s="3" t="inlineStr">
        <is>
          <t>Consumer Rice Range</t>
        </is>
      </c>
      <c r="D12" s="3" t="inlineStr">
        <is>
          <t>Jeera</t>
        </is>
      </c>
      <c r="E12" s="3" t="inlineStr">
        <is>
          <t>Embrace pure living</t>
        </is>
      </c>
      <c r="F12" s="2">
        <f>COUNTIF(Variants!$A$2:$A$107,B12)</f>
        <v/>
      </c>
      <c r="G12" s="2">
        <f>_xlfn.IMAGE("https://savitrigroup.in/wp-content/uploads/2025/04/akshaya-silk-blue.jpg")</f>
        <v/>
      </c>
      <c r="H12" s="4" t="inlineStr">
        <is>
          <t>https://savitrigroup.in/products/rice/consumer-rice-range/akshaya/</t>
        </is>
      </c>
      <c r="I12" s="4" t="inlineStr">
        <is>
          <t>https://savitrigroup.in/wp-content/uploads/2025/04/akshaya-silk-blue.jpg</t>
        </is>
      </c>
    </row>
    <row r="13" ht="90" customHeight="1">
      <c r="A13" s="2" t="n">
        <v>12</v>
      </c>
      <c r="B13" s="3" t="inlineStr">
        <is>
          <t>Family</t>
        </is>
      </c>
      <c r="C13" s="3" t="inlineStr">
        <is>
          <t>Economical Rice Range</t>
        </is>
      </c>
      <c r="D13" s="3" t="inlineStr">
        <is>
          <t>Sona Masuri</t>
        </is>
      </c>
      <c r="E13" s="3" t="inlineStr">
        <is>
          <t>Everyone's choice</t>
        </is>
      </c>
      <c r="F13" s="2">
        <f>COUNTIF(Variants!$A$2:$A$107,B13)</f>
        <v/>
      </c>
      <c r="G13" s="2">
        <f>_xlfn.IMAGE("https://savitrigroup.in/wp-content/uploads/2018/02/family-1.jpg")</f>
        <v/>
      </c>
      <c r="H13" s="4" t="inlineStr">
        <is>
          <t>https://savitrigroup.in/products/rice/economical-rice-range/family/</t>
        </is>
      </c>
      <c r="I13" s="4" t="inlineStr">
        <is>
          <t>https://savitrigroup.in/wp-content/uploads/2018/02/family-1.jpg</t>
        </is>
      </c>
    </row>
    <row r="14" ht="90" customHeight="1">
      <c r="A14" s="2" t="n">
        <v>13</v>
      </c>
      <c r="B14" s="3" t="inlineStr">
        <is>
          <t>Kutumbh</t>
        </is>
      </c>
      <c r="C14" s="3" t="inlineStr">
        <is>
          <t>Economical Rice Range</t>
        </is>
      </c>
      <c r="D14" s="3" t="inlineStr">
        <is>
          <t>Sona Masuri</t>
        </is>
      </c>
      <c r="E14" s="3" t="inlineStr">
        <is>
          <t>Nourish your gatherings</t>
        </is>
      </c>
      <c r="F14" s="2">
        <f>COUNTIF(Variants!$A$2:$A$107,B14)</f>
        <v/>
      </c>
      <c r="G14" s="2">
        <f>_xlfn.IMAGE("https://savitrigroup.in/wp-content/uploads/2025/04/kutumbh-blue.jpg")</f>
        <v/>
      </c>
      <c r="H14" s="4" t="inlineStr">
        <is>
          <t>https://savitrigroup.in/products/rice/economical-rice-range/kutumbh/</t>
        </is>
      </c>
      <c r="I14" s="4" t="inlineStr">
        <is>
          <t>https://savitrigroup.in/wp-content/uploads/2025/04/kutumbh-blue.jpg</t>
        </is>
      </c>
    </row>
    <row r="15" ht="90" customHeight="1">
      <c r="A15" s="2" t="n">
        <v>14</v>
      </c>
      <c r="B15" s="3" t="inlineStr">
        <is>
          <t>Ayush</t>
        </is>
      </c>
      <c r="C15" s="3" t="inlineStr">
        <is>
          <t>Economical Rice Range</t>
        </is>
      </c>
      <c r="D15" s="3" t="inlineStr">
        <is>
          <t>IR 64</t>
        </is>
      </c>
      <c r="E15" s="3" t="inlineStr">
        <is>
          <t>Power to life</t>
        </is>
      </c>
      <c r="F15" s="2">
        <f>COUNTIF(Variants!$A$2:$A$107,B15)</f>
        <v/>
      </c>
      <c r="G15" s="2">
        <f>_xlfn.IMAGE("https://savitrigroup.in/wp-content/uploads/2018/02/auysh-1.jpg")</f>
        <v/>
      </c>
      <c r="H15" s="4" t="inlineStr">
        <is>
          <t>https://savitrigroup.in/products/rice/economical-rice-range/ayush/</t>
        </is>
      </c>
      <c r="I15" s="4" t="inlineStr">
        <is>
          <t>https://savitrigroup.in/wp-content/uploads/2018/02/auysh-1.jpg</t>
        </is>
      </c>
    </row>
    <row r="16" ht="90" customHeight="1">
      <c r="A16" s="2" t="n">
        <v>15</v>
      </c>
      <c r="B16" s="3" t="inlineStr">
        <is>
          <t>Krupa</t>
        </is>
      </c>
      <c r="C16" s="3" t="inlineStr">
        <is>
          <t>Economical Rice Range</t>
        </is>
      </c>
      <c r="D16" s="3" t="inlineStr">
        <is>
          <t>Sona Masuri</t>
        </is>
      </c>
      <c r="E16" s="3" t="inlineStr">
        <is>
          <t>Premium quality rice</t>
        </is>
      </c>
      <c r="F16" s="2">
        <f>COUNTIF(Variants!$A$2:$A$107,B16)</f>
        <v/>
      </c>
      <c r="G16" s="2">
        <f>_xlfn.IMAGE("https://savitrigroup.in/wp-content/uploads/2025/04/krupa-blue.jpg")</f>
        <v/>
      </c>
      <c r="H16" s="4" t="inlineStr">
        <is>
          <t>https://savitrigroup.in/products/rice/economical-rice-range/krupa/</t>
        </is>
      </c>
      <c r="I16" s="4" t="inlineStr">
        <is>
          <t>https://savitrigroup.in/wp-content/uploads/2025/04/krupa-blue.jpg</t>
        </is>
      </c>
    </row>
    <row r="17" ht="90" customHeight="1">
      <c r="A17" s="2" t="n">
        <v>16</v>
      </c>
      <c r="B17" s="3" t="inlineStr">
        <is>
          <t>Ajantha</t>
        </is>
      </c>
      <c r="C17" s="3" t="inlineStr">
        <is>
          <t>Economical Rice Range</t>
        </is>
      </c>
      <c r="D17" s="3" t="inlineStr">
        <is>
          <t>Sona Masuri</t>
        </is>
      </c>
      <c r="E17" s="3" t="inlineStr">
        <is>
          <t>Just the best</t>
        </is>
      </c>
      <c r="F17" s="2">
        <f>COUNTIF(Variants!$A$2:$A$107,B17)</f>
        <v/>
      </c>
      <c r="G17" s="2">
        <f>_xlfn.IMAGE("https://savitrigroup.in/wp-content/uploads/2018/02/ajanta-1.jpg")</f>
        <v/>
      </c>
      <c r="H17" s="4" t="inlineStr">
        <is>
          <t>https://savitrigroup.in/products/rice/economical-rice-range/ajantha/</t>
        </is>
      </c>
      <c r="I17" s="4" t="inlineStr">
        <is>
          <t>https://savitrigroup.in/wp-content/uploads/2018/02/ajanta-1.jpg</t>
        </is>
      </c>
    </row>
    <row r="18" ht="90" customHeight="1">
      <c r="A18" s="2" t="n">
        <v>17</v>
      </c>
      <c r="B18" s="3" t="inlineStr">
        <is>
          <t>Elephanta</t>
        </is>
      </c>
      <c r="C18" s="3" t="inlineStr">
        <is>
          <t>Economical Rice Range</t>
        </is>
      </c>
      <c r="D18" s="3" t="inlineStr">
        <is>
          <t>Sona Masuri</t>
        </is>
      </c>
      <c r="E18" s="3" t="inlineStr">
        <is>
          <t>Eat strong, be strong</t>
        </is>
      </c>
      <c r="F18" s="2">
        <f>COUNTIF(Variants!$A$2:$A$107,B18)</f>
        <v/>
      </c>
      <c r="G18" s="2">
        <f>_xlfn.IMAGE("https://savitrigroup.in/wp-content/uploads/2018/02/elephanta-1.jpg")</f>
        <v/>
      </c>
      <c r="H18" s="4" t="inlineStr">
        <is>
          <t>https://savitrigroup.in/products/rice/economical-rice-range/elephanta/</t>
        </is>
      </c>
      <c r="I18" s="4" t="inlineStr">
        <is>
          <t>https://savitrigroup.in/wp-content/uploads/2018/02/elephanta-1.jpg</t>
        </is>
      </c>
    </row>
    <row r="19" ht="90" customHeight="1">
      <c r="A19" s="2" t="n">
        <v>18</v>
      </c>
      <c r="B19" s="3" t="inlineStr">
        <is>
          <t>Ellora</t>
        </is>
      </c>
      <c r="C19" s="3" t="inlineStr">
        <is>
          <t>Economical Rice Range</t>
        </is>
      </c>
      <c r="D19" s="3" t="inlineStr">
        <is>
          <t>Sona Masuri</t>
        </is>
      </c>
      <c r="E19" s="3" t="inlineStr">
        <is>
          <t>Strong and beautiful</t>
        </is>
      </c>
      <c r="F19" s="2">
        <f>COUNTIF(Variants!$A$2:$A$107,B19)</f>
        <v/>
      </c>
      <c r="G19" s="2">
        <f>_xlfn.IMAGE("https://savitrigroup.in/wp-content/uploads/2018/02/ellora-1.jpg")</f>
        <v/>
      </c>
      <c r="H19" s="4" t="inlineStr">
        <is>
          <t>https://savitrigroup.in/products/rice/economical-rice-range/ellora/</t>
        </is>
      </c>
      <c r="I19" s="4" t="inlineStr">
        <is>
          <t>https://savitrigroup.in/wp-content/uploads/2018/02/ellora-1.jpg</t>
        </is>
      </c>
    </row>
    <row r="20" ht="90" customHeight="1">
      <c r="A20" s="2" t="n">
        <v>19</v>
      </c>
      <c r="B20" s="3" t="inlineStr">
        <is>
          <t>Ship</t>
        </is>
      </c>
      <c r="C20" s="3" t="inlineStr">
        <is>
          <t>Broken Rice Range</t>
        </is>
      </c>
      <c r="D20" s="3" t="inlineStr">
        <is>
          <t>Broken rice</t>
        </is>
      </c>
      <c r="E20" s="3" t="inlineStr">
        <is>
          <t>Imperial choice rice</t>
        </is>
      </c>
      <c r="F20" s="2">
        <f>COUNTIF(Variants!$A$2:$A$107,B20)</f>
        <v/>
      </c>
      <c r="G20" s="2">
        <f>_xlfn.IMAGE("https://savitrigroup.in/wp-content/uploads/2025/04/ship-green.jpg")</f>
        <v/>
      </c>
      <c r="H20" s="4" t="inlineStr">
        <is>
          <t>https://savitrigroup.in/products/rice/broken-rice-range/ship/</t>
        </is>
      </c>
      <c r="I20" s="4" t="inlineStr">
        <is>
          <t>https://savitrigroup.in/wp-content/uploads/2025/04/ship-green.jpg</t>
        </is>
      </c>
    </row>
    <row r="21" ht="90" customHeight="1">
      <c r="A21" s="2" t="n">
        <v>20</v>
      </c>
      <c r="B21" s="3" t="inlineStr">
        <is>
          <t>Train</t>
        </is>
      </c>
      <c r="C21" s="3" t="inlineStr">
        <is>
          <t>Broken Rice Range</t>
        </is>
      </c>
      <c r="D21" s="3" t="inlineStr">
        <is>
          <t>Broken rice</t>
        </is>
      </c>
      <c r="E21" s="3" t="inlineStr">
        <is>
          <t>Take good care of you</t>
        </is>
      </c>
      <c r="F21" s="2">
        <f>COUNTIF(Variants!$A$2:$A$107,B21)</f>
        <v/>
      </c>
      <c r="G21" s="2">
        <f>_xlfn.IMAGE("https://savitrigroup.in/wp-content/uploads/2025/04/train-blue.jpg")</f>
        <v/>
      </c>
      <c r="H21" s="4" t="inlineStr">
        <is>
          <t>https://savitrigroup.in/products/rice/broken-rice-range/train/</t>
        </is>
      </c>
      <c r="I21" s="4" t="inlineStr">
        <is>
          <t>https://savitrigroup.in/wp-content/uploads/2025/04/train-blue.jpg</t>
        </is>
      </c>
    </row>
    <row r="22" ht="90" customHeight="1">
      <c r="A22" s="2" t="n">
        <v>21</v>
      </c>
      <c r="B22" s="3" t="inlineStr">
        <is>
          <t>Lorry</t>
        </is>
      </c>
      <c r="C22" s="3" t="inlineStr">
        <is>
          <t>Broken Rice Range</t>
        </is>
      </c>
      <c r="D22" s="3" t="inlineStr">
        <is>
          <t>Broken rice</t>
        </is>
      </c>
      <c r="E22" s="3" t="inlineStr">
        <is>
          <t>Takes good care of you</t>
        </is>
      </c>
      <c r="F22" s="2">
        <f>COUNTIF(Variants!$A$2:$A$107,B22)</f>
        <v/>
      </c>
      <c r="G22" s="2">
        <f>_xlfn.IMAGE("https://savitrigroup.in/wp-content/uploads/2018/02/lorry-1.jpg")</f>
        <v/>
      </c>
      <c r="H22" s="4" t="inlineStr">
        <is>
          <t>https://savitrigroup.in/products/rice/broken-rice-range/lorry/</t>
        </is>
      </c>
      <c r="I22" s="4" t="inlineStr">
        <is>
          <t>https://savitrigroup.in/wp-content/uploads/2018/02/lorry-1.jpg</t>
        </is>
      </c>
    </row>
    <row r="23" ht="90" customHeight="1">
      <c r="A23" s="2" t="n">
        <v>22</v>
      </c>
      <c r="B23" s="3" t="inlineStr">
        <is>
          <t>Tractor</t>
        </is>
      </c>
      <c r="C23" s="3" t="inlineStr">
        <is>
          <t>Broken Rice Range</t>
        </is>
      </c>
      <c r="D23" s="3" t="inlineStr">
        <is>
          <t>Sona broken</t>
        </is>
      </c>
      <c r="E23" s="3" t="inlineStr">
        <is>
          <t>The best you can get</t>
        </is>
      </c>
      <c r="F23" s="2">
        <f>COUNTIF(Variants!$A$2:$A$107,B23)</f>
        <v/>
      </c>
      <c r="G23" s="2">
        <f>_xlfn.IMAGE("https://savitrigroup.in/wp-content/uploads/2018/02/tractor-1.jpg")</f>
        <v/>
      </c>
      <c r="H23" s="4" t="inlineStr">
        <is>
          <t>https://savitrigroup.in/products/rice/broken-rice-range/tractor/</t>
        </is>
      </c>
      <c r="I23" s="4" t="inlineStr">
        <is>
          <t>https://savitrigroup.in/wp-content/uploads/2018/02/tractor-1.jpg</t>
        </is>
      </c>
    </row>
    <row r="24" ht="90" customHeight="1">
      <c r="A24" s="2" t="n">
        <v>23</v>
      </c>
      <c r="B24" s="3" t="inlineStr">
        <is>
          <t>Auto</t>
        </is>
      </c>
      <c r="C24" s="3" t="inlineStr">
        <is>
          <t>Broken Rice Range</t>
        </is>
      </c>
      <c r="D24" s="3" t="inlineStr">
        <is>
          <t>Sona broken</t>
        </is>
      </c>
      <c r="E24" s="3" t="inlineStr">
        <is>
          <t>You will like it</t>
        </is>
      </c>
      <c r="F24" s="2">
        <f>COUNTIF(Variants!$A$2:$A$107,B24)</f>
        <v/>
      </c>
      <c r="G24" s="2">
        <f>_xlfn.IMAGE("https://savitrigroup.in/wp-content/uploads/2018/02/auto-1.jpg")</f>
        <v/>
      </c>
      <c r="H24" s="4" t="inlineStr">
        <is>
          <t>https://savitrigroup.in/products/rice/broken-rice-range/auto/</t>
        </is>
      </c>
      <c r="I24" s="4" t="inlineStr">
        <is>
          <t>https://savitrigroup.in/wp-content/uploads/2018/02/auto-1.jpg</t>
        </is>
      </c>
    </row>
    <row r="25" ht="90" customHeight="1">
      <c r="A25" s="2" t="n">
        <v>24</v>
      </c>
      <c r="B25" s="3" t="inlineStr">
        <is>
          <t>Scooter</t>
        </is>
      </c>
      <c r="C25" s="3" t="inlineStr">
        <is>
          <t>Broken Rice Range</t>
        </is>
      </c>
      <c r="D25" s="3" t="inlineStr">
        <is>
          <t>Broken rice</t>
        </is>
      </c>
      <c r="E25" s="3" t="inlineStr">
        <is>
          <t>Don't cook it, scooter it</t>
        </is>
      </c>
      <c r="F25" s="2">
        <f>COUNTIF(Variants!$A$2:$A$107,B25)</f>
        <v/>
      </c>
      <c r="G25" s="2">
        <f>_xlfn.IMAGE("https://savitrigroup.in/wp-content/uploads/2018/02/scooter-1.jpg")</f>
        <v/>
      </c>
      <c r="H25" s="4" t="inlineStr">
        <is>
          <t>https://savitrigroup.in/products/rice/broken-rice-range/scooter/</t>
        </is>
      </c>
      <c r="I25" s="4" t="inlineStr">
        <is>
          <t>https://savitrigroup.in/wp-content/uploads/2018/02/scooter-1.jpg</t>
        </is>
      </c>
    </row>
    <row r="26" ht="90" customHeight="1">
      <c r="A26" s="2" t="n">
        <v>25</v>
      </c>
      <c r="B26" s="3" t="inlineStr">
        <is>
          <t>Kangaroo</t>
        </is>
      </c>
      <c r="C26" s="3" t="inlineStr">
        <is>
          <t>Broken Rice Range</t>
        </is>
      </c>
      <c r="D26" s="3" t="inlineStr">
        <is>
          <t>Broken rice</t>
        </is>
      </c>
      <c r="E26" s="3" t="inlineStr">
        <is>
          <t>Feel good with Kangaroo</t>
        </is>
      </c>
      <c r="F26" s="2">
        <f>COUNTIF(Variants!$A$2:$A$107,B26)</f>
        <v/>
      </c>
      <c r="G26" s="2">
        <f>_xlfn.IMAGE("https://savitrigroup.in/wp-content/uploads/2018/02/kangaroo-1.jpg")</f>
        <v/>
      </c>
      <c r="H26" s="4" t="inlineStr">
        <is>
          <t>https://savitrigroup.in/products/rice/broken-rice-range/kangaroo/</t>
        </is>
      </c>
      <c r="I26" s="4" t="inlineStr">
        <is>
          <t>https://savitrigroup.in/wp-content/uploads/2018/02/kangaroo-1.jpg</t>
        </is>
      </c>
    </row>
    <row r="27" ht="90" customHeight="1">
      <c r="A27" s="2" t="n">
        <v>26</v>
      </c>
      <c r="B27" s="3" t="inlineStr">
        <is>
          <t>Savitri Ashirvaad Idly Rawa</t>
        </is>
      </c>
      <c r="C27" s="3" t="inlineStr">
        <is>
          <t>Rice By-Products</t>
        </is>
      </c>
      <c r="D27" s="3" t="inlineStr">
        <is>
          <t>By-product</t>
        </is>
      </c>
      <c r="E27" s="3" t="inlineStr">
        <is>
          <t>Rice by-product</t>
        </is>
      </c>
      <c r="F27" s="2">
        <f>COUNTIF(Variants!$A$2:$A$107,B27)</f>
        <v/>
      </c>
      <c r="G27" s="2" t="inlineStr">
        <is>
          <t>No image on website</t>
        </is>
      </c>
      <c r="H27" s="4" t="inlineStr">
        <is>
          <t>https://savitrigroup.in/products/rice-by-products/ashirvaad-idli-rawa/</t>
        </is>
      </c>
      <c r="I27" s="3" t="n"/>
    </row>
    <row r="28" ht="90" customHeight="1">
      <c r="A28" s="2" t="n">
        <v>27</v>
      </c>
      <c r="B28" s="3" t="inlineStr">
        <is>
          <t>Savitri Ashirvaad Rice Flour</t>
        </is>
      </c>
      <c r="C28" s="3" t="inlineStr">
        <is>
          <t>Rice By-Products</t>
        </is>
      </c>
      <c r="D28" s="3" t="inlineStr">
        <is>
          <t>By-product</t>
        </is>
      </c>
      <c r="E28" s="3" t="inlineStr">
        <is>
          <t>Rice by-product</t>
        </is>
      </c>
      <c r="F28" s="2">
        <f>COUNTIF(Variants!$A$2:$A$107,B28)</f>
        <v/>
      </c>
      <c r="G28" s="2" t="inlineStr">
        <is>
          <t>No image on website</t>
        </is>
      </c>
      <c r="H28" s="4" t="inlineStr">
        <is>
          <t>https://savitrigroup.in/products/rice-by-products/ashirvaad-rice-flour/</t>
        </is>
      </c>
      <c r="I28" s="3" t="n"/>
    </row>
    <row r="29" ht="90" customHeight="1">
      <c r="A29" s="2" t="n">
        <v>28</v>
      </c>
      <c r="B29" s="3" t="inlineStr">
        <is>
          <t>Savitri Ashirvaad Poha</t>
        </is>
      </c>
      <c r="C29" s="3" t="inlineStr">
        <is>
          <t>Rice By-Products</t>
        </is>
      </c>
      <c r="D29" s="3" t="inlineStr">
        <is>
          <t>By-product</t>
        </is>
      </c>
      <c r="E29" s="3" t="inlineStr">
        <is>
          <t>Rice by-product</t>
        </is>
      </c>
      <c r="F29" s="2">
        <f>COUNTIF(Variants!$A$2:$A$107,B29)</f>
        <v/>
      </c>
      <c r="G29" s="2" t="inlineStr">
        <is>
          <t>No image on website</t>
        </is>
      </c>
      <c r="H29" s="4" t="inlineStr">
        <is>
          <t>https://savitrigroup.in/products/rice-by-products/ashirvaad-poha/</t>
        </is>
      </c>
      <c r="I29" s="3" t="n"/>
    </row>
    <row r="30" ht="90" customHeight="1">
      <c r="A30" s="2" t="n">
        <v>29</v>
      </c>
      <c r="B30" s="3" t="inlineStr">
        <is>
          <t>Savitri Ashirvaad Rice Rawa</t>
        </is>
      </c>
      <c r="C30" s="3" t="inlineStr">
        <is>
          <t>Rice By-Products</t>
        </is>
      </c>
      <c r="D30" s="3" t="inlineStr">
        <is>
          <t>By-product</t>
        </is>
      </c>
      <c r="E30" s="3" t="inlineStr">
        <is>
          <t>Rice by-product</t>
        </is>
      </c>
      <c r="F30" s="2">
        <f>COUNTIF(Variants!$A$2:$A$107,B30)</f>
        <v/>
      </c>
      <c r="G30" s="2" t="inlineStr">
        <is>
          <t>No image on website</t>
        </is>
      </c>
      <c r="H30" s="4" t="inlineStr">
        <is>
          <t>https://savitrigroup.in/products/rice-by-products/ashirvaad-rice-rawa/</t>
        </is>
      </c>
      <c r="I30" s="3" t="n"/>
    </row>
    <row r="31" ht="90" customHeight="1">
      <c r="A31" s="2" t="n">
        <v>30</v>
      </c>
      <c r="B31" s="3" t="inlineStr">
        <is>
          <t>Savitri Ashirvaad Murmure</t>
        </is>
      </c>
      <c r="C31" s="3" t="inlineStr">
        <is>
          <t>Rice By-Products</t>
        </is>
      </c>
      <c r="D31" s="3" t="inlineStr">
        <is>
          <t>By-product</t>
        </is>
      </c>
      <c r="E31" s="3" t="inlineStr">
        <is>
          <t>Rice by-product</t>
        </is>
      </c>
      <c r="F31" s="2">
        <f>COUNTIF(Variants!$A$2:$A$107,B31)</f>
        <v/>
      </c>
      <c r="G31" s="2" t="inlineStr">
        <is>
          <t>No image on website</t>
        </is>
      </c>
      <c r="H31" s="4" t="inlineStr">
        <is>
          <t>https://savitrigroup.in/products/rice-by-products/ashirvaad-murmure/</t>
        </is>
      </c>
      <c r="I31" s="3" t="n"/>
    </row>
    <row r="32" ht="90" customHeight="1">
      <c r="A32" s="2" t="n">
        <v>31</v>
      </c>
      <c r="B32" s="3" t="inlineStr">
        <is>
          <t>Savitri Ashirvaad Puttu Podi</t>
        </is>
      </c>
      <c r="C32" s="3" t="inlineStr">
        <is>
          <t>Rice By-Products</t>
        </is>
      </c>
      <c r="D32" s="3" t="inlineStr">
        <is>
          <t>By-product</t>
        </is>
      </c>
      <c r="E32" s="3" t="inlineStr">
        <is>
          <t>Rice by-product</t>
        </is>
      </c>
      <c r="F32" s="2">
        <f>COUNTIF(Variants!$A$2:$A$107,B32)</f>
        <v/>
      </c>
      <c r="G32" s="2" t="inlineStr">
        <is>
          <t>No image on website</t>
        </is>
      </c>
      <c r="H32" s="4" t="inlineStr">
        <is>
          <t>https://savitrigroup.in/products/rice-by-products/ashirvaad-puttu-podi/</t>
        </is>
      </c>
      <c r="I32" s="3" t="n"/>
    </row>
    <row r="34">
      <c r="E34" s="5" t="inlineStr">
        <is>
          <t>Total variants</t>
        </is>
      </c>
      <c r="F34" s="6">
        <f>SUM(F2:F32)</f>
        <v/>
      </c>
    </row>
  </sheetData>
  <autoFilter ref="A1:I32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H20" r:id="rId37"/>
    <hyperlink xmlns:r="http://schemas.openxmlformats.org/officeDocument/2006/relationships" ref="I20" r:id="rId38"/>
    <hyperlink xmlns:r="http://schemas.openxmlformats.org/officeDocument/2006/relationships" ref="H21" r:id="rId39"/>
    <hyperlink xmlns:r="http://schemas.openxmlformats.org/officeDocument/2006/relationships" ref="I21" r:id="rId40"/>
    <hyperlink xmlns:r="http://schemas.openxmlformats.org/officeDocument/2006/relationships" ref="H22" r:id="rId41"/>
    <hyperlink xmlns:r="http://schemas.openxmlformats.org/officeDocument/2006/relationships" ref="I22" r:id="rId42"/>
    <hyperlink xmlns:r="http://schemas.openxmlformats.org/officeDocument/2006/relationships" ref="H23" r:id="rId43"/>
    <hyperlink xmlns:r="http://schemas.openxmlformats.org/officeDocument/2006/relationships" ref="I23" r:id="rId44"/>
    <hyperlink xmlns:r="http://schemas.openxmlformats.org/officeDocument/2006/relationships" ref="H24" r:id="rId45"/>
    <hyperlink xmlns:r="http://schemas.openxmlformats.org/officeDocument/2006/relationships" ref="I24" r:id="rId46"/>
    <hyperlink xmlns:r="http://schemas.openxmlformats.org/officeDocument/2006/relationships" ref="H25" r:id="rId47"/>
    <hyperlink xmlns:r="http://schemas.openxmlformats.org/officeDocument/2006/relationships" ref="I25" r:id="rId48"/>
    <hyperlink xmlns:r="http://schemas.openxmlformats.org/officeDocument/2006/relationships" ref="H26" r:id="rId49"/>
    <hyperlink xmlns:r="http://schemas.openxmlformats.org/officeDocument/2006/relationships" ref="I26" r:id="rId50"/>
    <hyperlink xmlns:r="http://schemas.openxmlformats.org/officeDocument/2006/relationships" ref="H27" r:id="rId51"/>
    <hyperlink xmlns:r="http://schemas.openxmlformats.org/officeDocument/2006/relationships" ref="H28" r:id="rId52"/>
    <hyperlink xmlns:r="http://schemas.openxmlformats.org/officeDocument/2006/relationships" ref="H29" r:id="rId53"/>
    <hyperlink xmlns:r="http://schemas.openxmlformats.org/officeDocument/2006/relationships" ref="H30" r:id="rId54"/>
    <hyperlink xmlns:r="http://schemas.openxmlformats.org/officeDocument/2006/relationships" ref="H31" r:id="rId55"/>
    <hyperlink xmlns:r="http://schemas.openxmlformats.org/officeDocument/2006/relationships" ref="H32" r:id="rId5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14" customWidth="1" min="4" max="4"/>
    <col width="38" customWidth="1" min="5" max="5"/>
    <col width="22" customWidth="1" min="6" max="6"/>
    <col width="60" customWidth="1" min="7" max="7"/>
    <col width="60" customWidth="1" min="8" max="8"/>
  </cols>
  <sheetData>
    <row r="1" ht="28" customHeight="1">
      <c r="A1" s="1" t="inlineStr">
        <is>
          <t>Product</t>
        </is>
      </c>
      <c r="B1" s="1" t="inlineStr">
        <is>
          <t>Category</t>
        </is>
      </c>
      <c r="C1" s="1" t="inlineStr">
        <is>
          <t>Rice Type</t>
        </is>
      </c>
      <c r="D1" s="1" t="inlineStr">
        <is>
          <t>Variant</t>
        </is>
      </c>
      <c r="E1" s="1" t="inlineStr">
        <is>
          <t>Variant Details</t>
        </is>
      </c>
      <c r="F1" s="1" t="inlineStr">
        <is>
          <t>Image</t>
        </is>
      </c>
      <c r="G1" s="1" t="inlineStr">
        <is>
          <t>Image URL</t>
        </is>
      </c>
      <c r="H1" s="1" t="inlineStr">
        <is>
          <t>Variant Page URL</t>
        </is>
      </c>
    </row>
    <row r="2" ht="90" customHeight="1">
      <c r="A2" s="3" t="inlineStr">
        <is>
          <t>Savitri Ashirvaad</t>
        </is>
      </c>
      <c r="B2" s="3" t="inlineStr">
        <is>
          <t>Premium Rice</t>
        </is>
      </c>
      <c r="C2" s="3" t="inlineStr">
        <is>
          <t>Sona Masuri</t>
        </is>
      </c>
      <c r="D2" s="3" t="inlineStr">
        <is>
          <t>Bronze</t>
        </is>
      </c>
      <c r="E2" s="3" t="inlineStr">
        <is>
          <t>New sona steam rice</t>
        </is>
      </c>
      <c r="F2" s="2">
        <f>_xlfn.IMAGE("https://savitrigroup.in/wp-content/uploads/2018/02/ashirvaad-1.jpg")</f>
        <v/>
      </c>
      <c r="G2" s="4" t="inlineStr">
        <is>
          <t>https://savitrigroup.in/wp-content/uploads/2018/02/ashirvaad-1.jpg</t>
        </is>
      </c>
      <c r="H2" s="4" t="inlineStr">
        <is>
          <t>https://savitrigroup.in/products/rice/premium-rice/savitri-ashirvaad/bronze/</t>
        </is>
      </c>
    </row>
    <row r="3" ht="90" customHeight="1">
      <c r="A3" s="3" t="inlineStr">
        <is>
          <t>Savitri Ashirvaad</t>
        </is>
      </c>
      <c r="B3" s="3" t="inlineStr">
        <is>
          <t>Premium Rice</t>
        </is>
      </c>
      <c r="C3" s="3" t="inlineStr">
        <is>
          <t>Sona Masuri</t>
        </is>
      </c>
      <c r="D3" s="3" t="inlineStr">
        <is>
          <t>Copper</t>
        </is>
      </c>
      <c r="E3" s="3" t="inlineStr">
        <is>
          <t>6 months old sona rice</t>
        </is>
      </c>
      <c r="F3" s="2">
        <f>_xlfn.IMAGE("https://savitrigroup.in/wp-content/uploads/2018/02/ashirvaad-2.jpg")</f>
        <v/>
      </c>
      <c r="G3" s="4" t="inlineStr">
        <is>
          <t>https://savitrigroup.in/wp-content/uploads/2018/02/ashirvaad-2.jpg</t>
        </is>
      </c>
      <c r="H3" s="4" t="inlineStr">
        <is>
          <t>https://savitrigroup.in/products/rice/premium-rice/savitri-ashirvaad/copper/</t>
        </is>
      </c>
    </row>
    <row r="4" ht="90" customHeight="1">
      <c r="A4" s="3" t="inlineStr">
        <is>
          <t>Savitri Ashirvaad</t>
        </is>
      </c>
      <c r="B4" s="3" t="inlineStr">
        <is>
          <t>Premium Rice</t>
        </is>
      </c>
      <c r="C4" s="3" t="inlineStr">
        <is>
          <t>Sona Masuri</t>
        </is>
      </c>
      <c r="D4" s="3" t="inlineStr">
        <is>
          <t>Gold</t>
        </is>
      </c>
      <c r="E4" s="3" t="inlineStr">
        <is>
          <t>1 year old sona rice</t>
        </is>
      </c>
      <c r="F4" s="2">
        <f>_xlfn.IMAGE("https://savitrigroup.in/wp-content/uploads/2018/02/ashirvaad-3.jpg")</f>
        <v/>
      </c>
      <c r="G4" s="4" t="inlineStr">
        <is>
          <t>https://savitrigroup.in/wp-content/uploads/2018/02/ashirvaad-3.jpg</t>
        </is>
      </c>
      <c r="H4" s="4" t="inlineStr">
        <is>
          <t>https://savitrigroup.in/products/rice/premium-rice/savitri-ashirvaad/gold/</t>
        </is>
      </c>
    </row>
    <row r="5" ht="90" customHeight="1">
      <c r="A5" s="3" t="inlineStr">
        <is>
          <t>Savitri Ashirvaad</t>
        </is>
      </c>
      <c r="B5" s="3" t="inlineStr">
        <is>
          <t>Premium Rice</t>
        </is>
      </c>
      <c r="C5" s="3" t="inlineStr">
        <is>
          <t>Sona Masuri</t>
        </is>
      </c>
      <c r="D5" s="3" t="inlineStr">
        <is>
          <t>Steel</t>
        </is>
      </c>
      <c r="E5" s="3" t="inlineStr">
        <is>
          <t>White sona steam rice</t>
        </is>
      </c>
      <c r="F5" s="2">
        <f>_xlfn.IMAGE("https://savitrigroup.in/wp-content/uploads/2018/02/ashirvaad-4.jpg")</f>
        <v/>
      </c>
      <c r="G5" s="4" t="inlineStr">
        <is>
          <t>https://savitrigroup.in/wp-content/uploads/2018/02/ashirvaad-4.jpg</t>
        </is>
      </c>
      <c r="H5" s="4" t="inlineStr">
        <is>
          <t>https://savitrigroup.in/products/rice/premium-rice/savitri-ashirvaad/steel/</t>
        </is>
      </c>
    </row>
    <row r="6" ht="90" customHeight="1">
      <c r="A6" s="3" t="inlineStr">
        <is>
          <t>Savitri Ashirvaad</t>
        </is>
      </c>
      <c r="B6" s="3" t="inlineStr">
        <is>
          <t>Premium Rice</t>
        </is>
      </c>
      <c r="C6" s="3" t="inlineStr">
        <is>
          <t>Sona Masuri</t>
        </is>
      </c>
      <c r="D6" s="3" t="inlineStr">
        <is>
          <t>Platinum</t>
        </is>
      </c>
      <c r="E6" s="3" t="inlineStr">
        <is>
          <t>1 year old raw rice</t>
        </is>
      </c>
      <c r="F6" s="2">
        <f>_xlfn.IMAGE("https://savitrigroup.in/wp-content/uploads/2018/02/ashirvaad-5.jpg")</f>
        <v/>
      </c>
      <c r="G6" s="4" t="inlineStr">
        <is>
          <t>https://savitrigroup.in/wp-content/uploads/2018/02/ashirvaad-5.jpg</t>
        </is>
      </c>
      <c r="H6" s="4" t="inlineStr">
        <is>
          <t>https://savitrigroup.in/products/rice/premium-rice/savitri-ashirvaad/platinum-2/</t>
        </is>
      </c>
    </row>
    <row r="7" ht="90" customHeight="1">
      <c r="A7" s="3" t="inlineStr">
        <is>
          <t>Savitri Ashirvaad</t>
        </is>
      </c>
      <c r="B7" s="3" t="inlineStr">
        <is>
          <t>Premium Rice</t>
        </is>
      </c>
      <c r="C7" s="3" t="inlineStr">
        <is>
          <t>Sona Masuri</t>
        </is>
      </c>
      <c r="D7" s="3" t="inlineStr">
        <is>
          <t>Silver</t>
        </is>
      </c>
      <c r="E7" s="3" t="inlineStr">
        <is>
          <t>6 months old raw rice</t>
        </is>
      </c>
      <c r="F7" s="2">
        <f>_xlfn.IMAGE("https://savitrigroup.in/wp-content/uploads/2018/02/ashirvaad-6.jpg")</f>
        <v/>
      </c>
      <c r="G7" s="4" t="inlineStr">
        <is>
          <t>https://savitrigroup.in/wp-content/uploads/2018/02/ashirvaad-6.jpg</t>
        </is>
      </c>
      <c r="H7" s="4" t="inlineStr">
        <is>
          <t>https://savitrigroup.in/products/rice/premium-rice/savitri-ashirvaad/silver/</t>
        </is>
      </c>
    </row>
    <row r="8" ht="90" customHeight="1">
      <c r="A8" s="3" t="inlineStr">
        <is>
          <t>Savitri Ashirvaad</t>
        </is>
      </c>
      <c r="B8" s="3" t="inlineStr">
        <is>
          <t>Premium Rice</t>
        </is>
      </c>
      <c r="C8" s="3" t="inlineStr">
        <is>
          <t>Sona Masuri</t>
        </is>
      </c>
      <c r="D8" s="3" t="inlineStr">
        <is>
          <t>Emerald</t>
        </is>
      </c>
      <c r="E8" s="3" t="inlineStr">
        <is>
          <t>New half boiled sona masuri rice</t>
        </is>
      </c>
      <c r="F8" s="2">
        <f>_xlfn.IMAGE("https://savitrigroup.in/wp-content/uploads/2018/02/ashirvaad-7.jpg")</f>
        <v/>
      </c>
      <c r="G8" s="4" t="inlineStr">
        <is>
          <t>https://savitrigroup.in/wp-content/uploads/2018/02/ashirvaad-7.jpg</t>
        </is>
      </c>
      <c r="H8" s="4" t="inlineStr">
        <is>
          <t>https://savitrigroup.in/products/rice/premium-rice/savitri-ashirvaad/emerald/</t>
        </is>
      </c>
    </row>
    <row r="9" ht="90" customHeight="1">
      <c r="A9" s="3" t="inlineStr">
        <is>
          <t>Savitri Ashirvaad</t>
        </is>
      </c>
      <c r="B9" s="3" t="inlineStr">
        <is>
          <t>Premium Rice</t>
        </is>
      </c>
      <c r="C9" s="3" t="inlineStr">
        <is>
          <t>Sona Masuri</t>
        </is>
      </c>
      <c r="D9" s="3" t="inlineStr">
        <is>
          <t>Sapphire</t>
        </is>
      </c>
      <c r="E9" s="3" t="inlineStr">
        <is>
          <t>New full boiled sona masuri rice</t>
        </is>
      </c>
      <c r="F9" s="2">
        <f>_xlfn.IMAGE("https://savitrigroup.in/wp-content/uploads/2018/02/ashirvaad-9.jpg")</f>
        <v/>
      </c>
      <c r="G9" s="4" t="inlineStr">
        <is>
          <t>https://savitrigroup.in/wp-content/uploads/2018/02/ashirvaad-9.jpg</t>
        </is>
      </c>
      <c r="H9" s="4" t="inlineStr">
        <is>
          <t>https://savitrigroup.in/products/rice/premium-rice/savitri-ashirvaad/sapphire/</t>
        </is>
      </c>
    </row>
    <row r="10" ht="90" customHeight="1">
      <c r="A10" s="3" t="inlineStr">
        <is>
          <t>Savitri Ashirvaad</t>
        </is>
      </c>
      <c r="B10" s="3" t="inlineStr">
        <is>
          <t>Premium Rice</t>
        </is>
      </c>
      <c r="C10" s="3" t="inlineStr">
        <is>
          <t>Sona Masuri</t>
        </is>
      </c>
      <c r="D10" s="3" t="inlineStr">
        <is>
          <t>Diamond</t>
        </is>
      </c>
      <c r="E10" s="3" t="inlineStr">
        <is>
          <t>Half boiled 1 year old sona masuri rice</t>
        </is>
      </c>
      <c r="F10" s="2">
        <f>_xlfn.IMAGE("https://savitrigroup.in/wp-content/uploads/2018/02/ashirvaad-10.jpg")</f>
        <v/>
      </c>
      <c r="G10" s="4" t="inlineStr">
        <is>
          <t>https://savitrigroup.in/wp-content/uploads/2018/02/ashirvaad-10.jpg</t>
        </is>
      </c>
      <c r="H10" s="4" t="inlineStr">
        <is>
          <t>https://savitrigroup.in/products/rice/premium-rice/savitri-ashirvaad/diamond/</t>
        </is>
      </c>
    </row>
    <row r="11" ht="90" customHeight="1">
      <c r="A11" s="3" t="inlineStr">
        <is>
          <t>Savitri Anugrahaa</t>
        </is>
      </c>
      <c r="B11" s="3" t="inlineStr">
        <is>
          <t>Premium Rice</t>
        </is>
      </c>
      <c r="C11" s="3" t="inlineStr">
        <is>
          <t>Sona Masuri</t>
        </is>
      </c>
      <c r="D11" s="3" t="inlineStr">
        <is>
          <t>Green</t>
        </is>
      </c>
      <c r="E11" s="3" t="inlineStr">
        <is>
          <t>New sona steam rice</t>
        </is>
      </c>
      <c r="F11" s="2">
        <f>_xlfn.IMAGE("https://savitrigroup.in/wp-content/uploads/2025/07/savitri_anugraha-green.jpg")</f>
        <v/>
      </c>
      <c r="G11" s="4" t="inlineStr">
        <is>
          <t>https://savitrigroup.in/wp-content/uploads/2025/07/savitri_anugraha-green.jpg</t>
        </is>
      </c>
      <c r="H11" s="4" t="inlineStr">
        <is>
          <t>https://savitrigroup.in/products/rice/premium-rice/savitri-anugrahaa/green/</t>
        </is>
      </c>
    </row>
    <row r="12" ht="90" customHeight="1">
      <c r="A12" s="3" t="inlineStr">
        <is>
          <t>Savitri Anugrahaa</t>
        </is>
      </c>
      <c r="B12" s="3" t="inlineStr">
        <is>
          <t>Premium Rice</t>
        </is>
      </c>
      <c r="C12" s="3" t="inlineStr">
        <is>
          <t>Sona Masuri</t>
        </is>
      </c>
      <c r="D12" s="3" t="inlineStr">
        <is>
          <t>Red</t>
        </is>
      </c>
      <c r="E12" s="3" t="inlineStr">
        <is>
          <t>Sona steam general rice</t>
        </is>
      </c>
      <c r="F12" s="2">
        <f>_xlfn.IMAGE("https://savitrigroup.in/wp-content/uploads/2025/07/savitri_anugraha-red.jpg")</f>
        <v/>
      </c>
      <c r="G12" s="4" t="inlineStr">
        <is>
          <t>https://savitrigroup.in/wp-content/uploads/2025/07/savitri_anugraha-red.jpg</t>
        </is>
      </c>
      <c r="H12" s="4" t="inlineStr">
        <is>
          <t>https://savitrigroup.in/products/rice/premium-rice/savitri-anugrahaa/orange/</t>
        </is>
      </c>
    </row>
    <row r="13" ht="90" customHeight="1">
      <c r="A13" s="3" t="inlineStr">
        <is>
          <t>Savitri Anugrahaa</t>
        </is>
      </c>
      <c r="B13" s="3" t="inlineStr">
        <is>
          <t>Premium Rice</t>
        </is>
      </c>
      <c r="C13" s="3" t="inlineStr">
        <is>
          <t>Sona Masuri</t>
        </is>
      </c>
      <c r="D13" s="3" t="inlineStr">
        <is>
          <t>Brown</t>
        </is>
      </c>
      <c r="E13" s="3" t="inlineStr">
        <is>
          <t>6 months old sona rice</t>
        </is>
      </c>
      <c r="F13" s="2">
        <f>_xlfn.IMAGE("https://savitrigroup.in/wp-content/uploads/2025/07/savitri_anugraha-brown.jpg")</f>
        <v/>
      </c>
      <c r="G13" s="4" t="inlineStr">
        <is>
          <t>https://savitrigroup.in/wp-content/uploads/2025/07/savitri_anugraha-brown.jpg</t>
        </is>
      </c>
      <c r="H13" s="4" t="inlineStr">
        <is>
          <t>https://savitrigroup.in/products/rice/premium-rice/savitri-anugrahaa/brown/</t>
        </is>
      </c>
    </row>
    <row r="14" ht="90" customHeight="1">
      <c r="A14" s="3" t="inlineStr">
        <is>
          <t>Savitri Anugrahaa</t>
        </is>
      </c>
      <c r="B14" s="3" t="inlineStr">
        <is>
          <t>Premium Rice</t>
        </is>
      </c>
      <c r="C14" s="3" t="inlineStr">
        <is>
          <t>Sona Masuri</t>
        </is>
      </c>
      <c r="D14" s="3" t="inlineStr">
        <is>
          <t>Yellow</t>
        </is>
      </c>
      <c r="E14" s="3" t="inlineStr">
        <is>
          <t>White sona steam rice</t>
        </is>
      </c>
      <c r="F14" s="2">
        <f>_xlfn.IMAGE("https://savitrigroup.in/wp-content/uploads/2025/07/savitri_anugraha-yellow.jpg")</f>
        <v/>
      </c>
      <c r="G14" s="4" t="inlineStr">
        <is>
          <t>https://savitrigroup.in/wp-content/uploads/2025/07/savitri_anugraha-yellow.jpg</t>
        </is>
      </c>
      <c r="H14" s="4" t="inlineStr">
        <is>
          <t>https://savitrigroup.in/products/rice/premium-rice/savitri-anugrahaa/yellow/</t>
        </is>
      </c>
    </row>
    <row r="15" ht="90" customHeight="1">
      <c r="A15" s="3" t="inlineStr">
        <is>
          <t>Savitri Anugrahaa</t>
        </is>
      </c>
      <c r="B15" s="3" t="inlineStr">
        <is>
          <t>Premium Rice</t>
        </is>
      </c>
      <c r="C15" s="3" t="inlineStr">
        <is>
          <t>Sona Masuri</t>
        </is>
      </c>
      <c r="D15" s="3" t="inlineStr">
        <is>
          <t>Black</t>
        </is>
      </c>
      <c r="E15" s="3" t="inlineStr">
        <is>
          <t>1 year old sona masuri rice</t>
        </is>
      </c>
      <c r="F15" s="2">
        <f>_xlfn.IMAGE("https://savitrigroup.in/wp-content/uploads/2025/07/savitri_anugraha-black-1.jpg")</f>
        <v/>
      </c>
      <c r="G15" s="4" t="inlineStr">
        <is>
          <t>https://savitrigroup.in/wp-content/uploads/2025/07/savitri_anugraha-black-1.jpg</t>
        </is>
      </c>
      <c r="H15" s="4" t="inlineStr">
        <is>
          <t>https://savitrigroup.in/products/rice/premium-rice/savitri-anugrahaa/black/</t>
        </is>
      </c>
    </row>
    <row r="16" ht="90" customHeight="1">
      <c r="A16" s="3" t="inlineStr">
        <is>
          <t>Savitri Anugrahaa</t>
        </is>
      </c>
      <c r="B16" s="3" t="inlineStr">
        <is>
          <t>Premium Rice</t>
        </is>
      </c>
      <c r="C16" s="3" t="inlineStr">
        <is>
          <t>Sona Masuri</t>
        </is>
      </c>
      <c r="D16" s="3" t="inlineStr">
        <is>
          <t>Blue</t>
        </is>
      </c>
      <c r="E16" s="3" t="inlineStr">
        <is>
          <t>New sona masuri rice</t>
        </is>
      </c>
      <c r="F16" s="2">
        <f>_xlfn.IMAGE("https://savitrigroup.in/wp-content/uploads/2025/07/savitri_anugraha-blue.jpg")</f>
        <v/>
      </c>
      <c r="G16" s="4" t="inlineStr">
        <is>
          <t>https://savitrigroup.in/wp-content/uploads/2025/07/savitri_anugraha-blue.jpg</t>
        </is>
      </c>
      <c r="H16" s="4" t="inlineStr">
        <is>
          <t>https://savitrigroup.in/products/rice/premium-rice/savitri-anugrahaa/blue/</t>
        </is>
      </c>
    </row>
    <row r="17" ht="90" customHeight="1">
      <c r="A17" s="3" t="inlineStr">
        <is>
          <t>Savitri Anugrahaa</t>
        </is>
      </c>
      <c r="B17" s="3" t="inlineStr">
        <is>
          <t>Premium Rice</t>
        </is>
      </c>
      <c r="C17" s="3" t="inlineStr">
        <is>
          <t>Sona Masuri</t>
        </is>
      </c>
      <c r="D17" s="3" t="inlineStr">
        <is>
          <t>Grey</t>
        </is>
      </c>
      <c r="E17" s="3" t="inlineStr">
        <is>
          <t>New half boiled sona masuri rice</t>
        </is>
      </c>
      <c r="F17" s="2">
        <f>_xlfn.IMAGE("https://savitrigroup.in/wp-content/uploads/2025/07/savitri_anugraha-grey.jpg")</f>
        <v/>
      </c>
      <c r="G17" s="4" t="inlineStr">
        <is>
          <t>https://savitrigroup.in/wp-content/uploads/2025/07/savitri_anugraha-grey.jpg</t>
        </is>
      </c>
      <c r="H17" s="4" t="inlineStr">
        <is>
          <t>https://savitrigroup.in/products/rice/premium-rice/savitri-anugrahaa/grey/</t>
        </is>
      </c>
    </row>
    <row r="18" ht="90" customHeight="1">
      <c r="A18" s="3" t="inlineStr">
        <is>
          <t>Savitri Anugrahaa</t>
        </is>
      </c>
      <c r="B18" s="3" t="inlineStr">
        <is>
          <t>Premium Rice</t>
        </is>
      </c>
      <c r="C18" s="3" t="inlineStr">
        <is>
          <t>Sona Masuri</t>
        </is>
      </c>
      <c r="D18" s="3" t="inlineStr">
        <is>
          <t>Orange</t>
        </is>
      </c>
      <c r="E18" s="3" t="inlineStr">
        <is>
          <t>Full boiled 1 year old sona masuri rice</t>
        </is>
      </c>
      <c r="F18" s="2">
        <f>_xlfn.IMAGE("https://savitrigroup.in/wp-content/uploads/2025/07/savitri_anugraha-orange.jpg")</f>
        <v/>
      </c>
      <c r="G18" s="4" t="inlineStr">
        <is>
          <t>https://savitrigroup.in/wp-content/uploads/2025/07/savitri_anugraha-orange.jpg</t>
        </is>
      </c>
      <c r="H18" s="4" t="inlineStr">
        <is>
          <t>https://savitrigroup.in/products/rice/premium-rice/savitri-anugrahaa/red/</t>
        </is>
      </c>
    </row>
    <row r="19" ht="90" customHeight="1">
      <c r="A19" s="3" t="inlineStr">
        <is>
          <t>Savitri Anugrahaa</t>
        </is>
      </c>
      <c r="B19" s="3" t="inlineStr">
        <is>
          <t>Premium Rice</t>
        </is>
      </c>
      <c r="C19" s="3" t="inlineStr">
        <is>
          <t>Sona Masuri</t>
        </is>
      </c>
      <c r="D19" s="3" t="inlineStr">
        <is>
          <t>Purple</t>
        </is>
      </c>
      <c r="E19" s="3" t="inlineStr">
        <is>
          <t>New full boiled sona masuri rice</t>
        </is>
      </c>
      <c r="F19" s="2">
        <f>_xlfn.IMAGE("https://savitrigroup.in/wp-content/uploads/2025/07/savitri_anugraha-purple.jpg")</f>
        <v/>
      </c>
      <c r="G19" s="4" t="inlineStr">
        <is>
          <t>https://savitrigroup.in/wp-content/uploads/2025/07/savitri_anugraha-purple.jpg</t>
        </is>
      </c>
      <c r="H19" s="4" t="inlineStr">
        <is>
          <t>https://savitrigroup.in/products/rice/premium-rice/savitri-anugrahaa/purple/</t>
        </is>
      </c>
    </row>
    <row r="20" ht="90" customHeight="1">
      <c r="A20" s="3" t="inlineStr">
        <is>
          <t>Savitri Anugrahaa</t>
        </is>
      </c>
      <c r="B20" s="3" t="inlineStr">
        <is>
          <t>Premium Rice</t>
        </is>
      </c>
      <c r="C20" s="3" t="inlineStr">
        <is>
          <t>Sona Masuri</t>
        </is>
      </c>
      <c r="D20" s="3" t="inlineStr">
        <is>
          <t>White</t>
        </is>
      </c>
      <c r="E20" s="3" t="inlineStr">
        <is>
          <t>Half boiled 1 year old sona masuri rice</t>
        </is>
      </c>
      <c r="F20" s="2">
        <f>_xlfn.IMAGE("https://savitrigroup.in/wp-content/uploads/2025/07/savitri_anugraha-white.jpg")</f>
        <v/>
      </c>
      <c r="G20" s="4" t="inlineStr">
        <is>
          <t>https://savitrigroup.in/wp-content/uploads/2025/07/savitri_anugraha-white.jpg</t>
        </is>
      </c>
      <c r="H20" s="4" t="inlineStr">
        <is>
          <t>https://savitrigroup.in/products/rice/premium-rice/savitri-anugrahaa/white/</t>
        </is>
      </c>
    </row>
    <row r="21" ht="90" customHeight="1">
      <c r="A21" s="3" t="inlineStr">
        <is>
          <t>Abhivrudhi</t>
        </is>
      </c>
      <c r="B21" s="3" t="inlineStr">
        <is>
          <t>Premium Rice</t>
        </is>
      </c>
      <c r="C21" s="3" t="inlineStr">
        <is>
          <t>Sona Masuri</t>
        </is>
      </c>
      <c r="D21" s="3" t="inlineStr">
        <is>
          <t>Bronze</t>
        </is>
      </c>
      <c r="E21" s="3" t="inlineStr">
        <is>
          <t>Traditional rice of India</t>
        </is>
      </c>
      <c r="F21" s="2">
        <f>_xlfn.IMAGE("https://savitrigroup.in/wp-content/uploads/2025/04/abhivrudhi-bronze.jpg")</f>
        <v/>
      </c>
      <c r="G21" s="4" t="inlineStr">
        <is>
          <t>https://savitrigroup.in/wp-content/uploads/2025/04/abhivrudhi-bronze.jpg</t>
        </is>
      </c>
      <c r="H21" s="3" t="n"/>
    </row>
    <row r="22" ht="90" customHeight="1">
      <c r="A22" s="3" t="inlineStr">
        <is>
          <t>Abhivrudhi</t>
        </is>
      </c>
      <c r="B22" s="3" t="inlineStr">
        <is>
          <t>Premium Rice</t>
        </is>
      </c>
      <c r="C22" s="3" t="inlineStr">
        <is>
          <t>Sona Masuri</t>
        </is>
      </c>
      <c r="D22" s="3" t="inlineStr">
        <is>
          <t>Copper</t>
        </is>
      </c>
      <c r="E22" s="3" t="inlineStr">
        <is>
          <t>Traditional rice of India</t>
        </is>
      </c>
      <c r="F22" s="2">
        <f>_xlfn.IMAGE("https://savitrigroup.in/wp-content/uploads/2025/04/abhivrudhi-copper.jpg")</f>
        <v/>
      </c>
      <c r="G22" s="4" t="inlineStr">
        <is>
          <t>https://savitrigroup.in/wp-content/uploads/2025/04/abhivrudhi-copper.jpg</t>
        </is>
      </c>
      <c r="H22" s="3" t="n"/>
    </row>
    <row r="23" ht="90" customHeight="1">
      <c r="A23" s="3" t="inlineStr">
        <is>
          <t>Abhivrudhi</t>
        </is>
      </c>
      <c r="B23" s="3" t="inlineStr">
        <is>
          <t>Premium Rice</t>
        </is>
      </c>
      <c r="C23" s="3" t="inlineStr">
        <is>
          <t>Sona Masuri</t>
        </is>
      </c>
      <c r="D23" s="3" t="inlineStr">
        <is>
          <t>Diamond</t>
        </is>
      </c>
      <c r="E23" s="3" t="inlineStr">
        <is>
          <t>Traditional rice of India</t>
        </is>
      </c>
      <c r="F23" s="2">
        <f>_xlfn.IMAGE("https://savitrigroup.in/wp-content/uploads/2025/04/abhivrudhi-diamond.jpg")</f>
        <v/>
      </c>
      <c r="G23" s="4" t="inlineStr">
        <is>
          <t>https://savitrigroup.in/wp-content/uploads/2025/04/abhivrudhi-diamond.jpg</t>
        </is>
      </c>
      <c r="H23" s="3" t="n"/>
    </row>
    <row r="24" ht="90" customHeight="1">
      <c r="A24" s="3" t="inlineStr">
        <is>
          <t>Abhivrudhi</t>
        </is>
      </c>
      <c r="B24" s="3" t="inlineStr">
        <is>
          <t>Premium Rice</t>
        </is>
      </c>
      <c r="C24" s="3" t="inlineStr">
        <is>
          <t>Sona Masuri</t>
        </is>
      </c>
      <c r="D24" s="3" t="inlineStr">
        <is>
          <t>Emerald</t>
        </is>
      </c>
      <c r="E24" s="3" t="inlineStr">
        <is>
          <t>Traditional rice of India</t>
        </is>
      </c>
      <c r="F24" s="2">
        <f>_xlfn.IMAGE("https://savitrigroup.in/wp-content/uploads/2025/04/abhivrudhi-emerald.jpg")</f>
        <v/>
      </c>
      <c r="G24" s="4" t="inlineStr">
        <is>
          <t>https://savitrigroup.in/wp-content/uploads/2025/04/abhivrudhi-emerald.jpg</t>
        </is>
      </c>
      <c r="H24" s="3" t="n"/>
    </row>
    <row r="25" ht="90" customHeight="1">
      <c r="A25" s="3" t="inlineStr">
        <is>
          <t>Abhivrudhi</t>
        </is>
      </c>
      <c r="B25" s="3" t="inlineStr">
        <is>
          <t>Premium Rice</t>
        </is>
      </c>
      <c r="C25" s="3" t="inlineStr">
        <is>
          <t>Sona Masuri</t>
        </is>
      </c>
      <c r="D25" s="3" t="inlineStr">
        <is>
          <t>Gold</t>
        </is>
      </c>
      <c r="E25" s="3" t="inlineStr">
        <is>
          <t>Traditional rice of India</t>
        </is>
      </c>
      <c r="F25" s="2">
        <f>_xlfn.IMAGE("https://savitrigroup.in/wp-content/uploads/2025/04/abhivrudhi-gold.jpg")</f>
        <v/>
      </c>
      <c r="G25" s="4" t="inlineStr">
        <is>
          <t>https://savitrigroup.in/wp-content/uploads/2025/04/abhivrudhi-gold.jpg</t>
        </is>
      </c>
      <c r="H25" s="3" t="n"/>
    </row>
    <row r="26" ht="90" customHeight="1">
      <c r="A26" s="3" t="inlineStr">
        <is>
          <t>Abhivrudhi</t>
        </is>
      </c>
      <c r="B26" s="3" t="inlineStr">
        <is>
          <t>Premium Rice</t>
        </is>
      </c>
      <c r="C26" s="3" t="inlineStr">
        <is>
          <t>Sona Masuri</t>
        </is>
      </c>
      <c r="D26" s="3" t="inlineStr">
        <is>
          <t>Platinum</t>
        </is>
      </c>
      <c r="E26" s="3" t="inlineStr">
        <is>
          <t>Traditional rice of India</t>
        </is>
      </c>
      <c r="F26" s="2">
        <f>_xlfn.IMAGE("https://savitrigroup.in/wp-content/uploads/2025/04/abhivrudhi-platinum.jpg")</f>
        <v/>
      </c>
      <c r="G26" s="4" t="inlineStr">
        <is>
          <t>https://savitrigroup.in/wp-content/uploads/2025/04/abhivrudhi-platinum.jpg</t>
        </is>
      </c>
      <c r="H26" s="3" t="n"/>
    </row>
    <row r="27" ht="90" customHeight="1">
      <c r="A27" s="3" t="inlineStr">
        <is>
          <t>Abhivrudhi</t>
        </is>
      </c>
      <c r="B27" s="3" t="inlineStr">
        <is>
          <t>Premium Rice</t>
        </is>
      </c>
      <c r="C27" s="3" t="inlineStr">
        <is>
          <t>Sona Masuri</t>
        </is>
      </c>
      <c r="D27" s="3" t="inlineStr">
        <is>
          <t>Ruby</t>
        </is>
      </c>
      <c r="E27" s="3" t="inlineStr">
        <is>
          <t>Traditional rice of India</t>
        </is>
      </c>
      <c r="F27" s="2">
        <f>_xlfn.IMAGE("https://savitrigroup.in/wp-content/uploads/2025/04/abhivrudhi-ruby.jpg")</f>
        <v/>
      </c>
      <c r="G27" s="4" t="inlineStr">
        <is>
          <t>https://savitrigroup.in/wp-content/uploads/2025/04/abhivrudhi-ruby.jpg</t>
        </is>
      </c>
      <c r="H27" s="3" t="n"/>
    </row>
    <row r="28" ht="90" customHeight="1">
      <c r="A28" s="3" t="inlineStr">
        <is>
          <t>Abhivrudhi</t>
        </is>
      </c>
      <c r="B28" s="3" t="inlineStr">
        <is>
          <t>Premium Rice</t>
        </is>
      </c>
      <c r="C28" s="3" t="inlineStr">
        <is>
          <t>Sona Masuri</t>
        </is>
      </c>
      <c r="D28" s="3" t="inlineStr">
        <is>
          <t>Sapphire</t>
        </is>
      </c>
      <c r="E28" s="3" t="inlineStr">
        <is>
          <t>Traditional rice of India</t>
        </is>
      </c>
      <c r="F28" s="2">
        <f>_xlfn.IMAGE("https://savitrigroup.in/wp-content/uploads/2025/04/abhivrudhi-sapphire.jpg")</f>
        <v/>
      </c>
      <c r="G28" s="4" t="inlineStr">
        <is>
          <t>https://savitrigroup.in/wp-content/uploads/2025/04/abhivrudhi-sapphire.jpg</t>
        </is>
      </c>
      <c r="H28" s="3" t="n"/>
    </row>
    <row r="29" ht="90" customHeight="1">
      <c r="A29" s="3" t="inlineStr">
        <is>
          <t>Abhivrudhi</t>
        </is>
      </c>
      <c r="B29" s="3" t="inlineStr">
        <is>
          <t>Premium Rice</t>
        </is>
      </c>
      <c r="C29" s="3" t="inlineStr">
        <is>
          <t>Sona Masuri</t>
        </is>
      </c>
      <c r="D29" s="3" t="inlineStr">
        <is>
          <t>Silver</t>
        </is>
      </c>
      <c r="E29" s="3" t="inlineStr">
        <is>
          <t>Traditional rice of India</t>
        </is>
      </c>
      <c r="F29" s="2">
        <f>_xlfn.IMAGE("https://savitrigroup.in/wp-content/uploads/2025/04/abhivrudhi-silver.jpg")</f>
        <v/>
      </c>
      <c r="G29" s="4" t="inlineStr">
        <is>
          <t>https://savitrigroup.in/wp-content/uploads/2025/04/abhivrudhi-silver.jpg</t>
        </is>
      </c>
      <c r="H29" s="3" t="n"/>
    </row>
    <row r="30" ht="90" customHeight="1">
      <c r="A30" s="3" t="inlineStr">
        <is>
          <t>Abhivrudhi</t>
        </is>
      </c>
      <c r="B30" s="3" t="inlineStr">
        <is>
          <t>Premium Rice</t>
        </is>
      </c>
      <c r="C30" s="3" t="inlineStr">
        <is>
          <t>Sona Masuri</t>
        </is>
      </c>
      <c r="D30" s="3" t="inlineStr">
        <is>
          <t>Steel</t>
        </is>
      </c>
      <c r="E30" s="3" t="inlineStr">
        <is>
          <t>Traditional rice of India</t>
        </is>
      </c>
      <c r="F30" s="2">
        <f>_xlfn.IMAGE("https://savitrigroup.in/wp-content/uploads/2025/04/abhivrudhi-steel.jpg")</f>
        <v/>
      </c>
      <c r="G30" s="4" t="inlineStr">
        <is>
          <t>https://savitrigroup.in/wp-content/uploads/2025/04/abhivrudhi-steel.jpg</t>
        </is>
      </c>
      <c r="H30" s="3" t="n"/>
    </row>
    <row r="31" ht="90" customHeight="1">
      <c r="A31" s="3" t="inlineStr">
        <is>
          <t>Savitri Ashirvaad Premium</t>
        </is>
      </c>
      <c r="B31" s="3" t="inlineStr">
        <is>
          <t>Special Rice</t>
        </is>
      </c>
      <c r="C31" s="3" t="inlineStr">
        <is>
          <t>HMT</t>
        </is>
      </c>
      <c r="D31" s="3" t="inlineStr">
        <is>
          <t>Pack 1</t>
        </is>
      </c>
      <c r="E31" s="3" t="inlineStr">
        <is>
          <t>New HMT rice</t>
        </is>
      </c>
      <c r="F31" s="2">
        <f>_xlfn.IMAGE("https://savitrigroup.in/wp-content/uploads/2018/02/premium-1.jpg")</f>
        <v/>
      </c>
      <c r="G31" s="4" t="inlineStr">
        <is>
          <t>https://savitrigroup.in/wp-content/uploads/2018/02/premium-1.jpg</t>
        </is>
      </c>
      <c r="H31" s="4" t="inlineStr">
        <is>
          <t>https://savitrigroup.in/products/rice/special-rice/ashirvaad-premium/hmt-rice-1/</t>
        </is>
      </c>
    </row>
    <row r="32" ht="90" customHeight="1">
      <c r="A32" s="3" t="inlineStr">
        <is>
          <t>Savitri Ashirvaad Premium</t>
        </is>
      </c>
      <c r="B32" s="3" t="inlineStr">
        <is>
          <t>Special Rice</t>
        </is>
      </c>
      <c r="C32" s="3" t="inlineStr">
        <is>
          <t>HMT</t>
        </is>
      </c>
      <c r="D32" s="3" t="inlineStr">
        <is>
          <t>Pack 2</t>
        </is>
      </c>
      <c r="E32" s="3" t="inlineStr">
        <is>
          <t>New HMT rice</t>
        </is>
      </c>
      <c r="F32" s="2">
        <f>_xlfn.IMAGE("https://savitrigroup.in/wp-content/uploads/2018/02/premium-2.jpg")</f>
        <v/>
      </c>
      <c r="G32" s="4" t="inlineStr">
        <is>
          <t>https://savitrigroup.in/wp-content/uploads/2018/02/premium-2.jpg</t>
        </is>
      </c>
      <c r="H32" s="4" t="inlineStr">
        <is>
          <t>https://savitrigroup.in/products/rice/special-rice/ashirvaad-premium/hmt-rice-2/</t>
        </is>
      </c>
    </row>
    <row r="33" ht="90" customHeight="1">
      <c r="A33" s="3" t="inlineStr">
        <is>
          <t>Savitri Ashirvaad Premium</t>
        </is>
      </c>
      <c r="B33" s="3" t="inlineStr">
        <is>
          <t>Special Rice</t>
        </is>
      </c>
      <c r="C33" s="3" t="inlineStr">
        <is>
          <t>HMT</t>
        </is>
      </c>
      <c r="D33" s="3" t="inlineStr">
        <is>
          <t>Pack 3</t>
        </is>
      </c>
      <c r="E33" s="3" t="inlineStr">
        <is>
          <t>New HMT rice</t>
        </is>
      </c>
      <c r="F33" s="2">
        <f>_xlfn.IMAGE("https://savitrigroup.in/wp-content/uploads/2018/02/premium-3.jpg")</f>
        <v/>
      </c>
      <c r="G33" s="4" t="inlineStr">
        <is>
          <t>https://savitrigroup.in/wp-content/uploads/2018/02/premium-3.jpg</t>
        </is>
      </c>
      <c r="H33" s="4" t="inlineStr">
        <is>
          <t>https://savitrigroup.in/products/rice/special-rice/ashirvaad-premium/hmt-rice-3/</t>
        </is>
      </c>
    </row>
    <row r="34" ht="90" customHeight="1">
      <c r="A34" s="3" t="inlineStr">
        <is>
          <t>Savitri Ashirvaad Indian Special</t>
        </is>
      </c>
      <c r="B34" s="3" t="inlineStr">
        <is>
          <t>Special Rice</t>
        </is>
      </c>
      <c r="C34" s="3" t="inlineStr">
        <is>
          <t>Kolam</t>
        </is>
      </c>
      <c r="D34" s="3" t="inlineStr">
        <is>
          <t>Pack 1</t>
        </is>
      </c>
      <c r="E34" s="3" t="inlineStr">
        <is>
          <t>Kolam rice</t>
        </is>
      </c>
      <c r="F34" s="2">
        <f>_xlfn.IMAGE("https://savitrigroup.in/wp-content/uploads/2018/02/indian-special-1.jpg")</f>
        <v/>
      </c>
      <c r="G34" s="4" t="inlineStr">
        <is>
          <t>https://savitrigroup.in/wp-content/uploads/2018/02/indian-special-1.jpg</t>
        </is>
      </c>
      <c r="H34" s="4" t="inlineStr">
        <is>
          <t>https://savitrigroup.in/products/rice/special-rice/ashirvaad-indian-special/kolam-rice-1/</t>
        </is>
      </c>
    </row>
    <row r="35" ht="90" customHeight="1">
      <c r="A35" s="3" t="inlineStr">
        <is>
          <t>Savitri Ashirvaad Indian Special</t>
        </is>
      </c>
      <c r="B35" s="3" t="inlineStr">
        <is>
          <t>Special Rice</t>
        </is>
      </c>
      <c r="C35" s="3" t="inlineStr">
        <is>
          <t>Kolam</t>
        </is>
      </c>
      <c r="D35" s="3" t="inlineStr">
        <is>
          <t>Pack 2</t>
        </is>
      </c>
      <c r="E35" s="3" t="inlineStr">
        <is>
          <t>Kolam rice</t>
        </is>
      </c>
      <c r="F35" s="2">
        <f>_xlfn.IMAGE("https://savitrigroup.in/wp-content/uploads/2018/02/indian-special-2.jpg")</f>
        <v/>
      </c>
      <c r="G35" s="4" t="inlineStr">
        <is>
          <t>https://savitrigroup.in/wp-content/uploads/2018/02/indian-special-2.jpg</t>
        </is>
      </c>
      <c r="H35" s="4" t="inlineStr">
        <is>
          <t>https://savitrigroup.in/products/rice/special-rice/ashirvaad-indian-special/kolam-rice-2/</t>
        </is>
      </c>
    </row>
    <row r="36" ht="90" customHeight="1">
      <c r="A36" s="3" t="inlineStr">
        <is>
          <t>Savitri Ashirvaad Indian Special</t>
        </is>
      </c>
      <c r="B36" s="3" t="inlineStr">
        <is>
          <t>Special Rice</t>
        </is>
      </c>
      <c r="C36" s="3" t="inlineStr">
        <is>
          <t>Kolam</t>
        </is>
      </c>
      <c r="D36" s="3" t="inlineStr">
        <is>
          <t>Pack 3</t>
        </is>
      </c>
      <c r="E36" s="3" t="inlineStr">
        <is>
          <t>Kolam rice</t>
        </is>
      </c>
      <c r="F36" s="2">
        <f>_xlfn.IMAGE("https://savitrigroup.in/wp-content/uploads/2018/02/indian-special-3.jpg")</f>
        <v/>
      </c>
      <c r="G36" s="4" t="inlineStr">
        <is>
          <t>https://savitrigroup.in/wp-content/uploads/2018/02/indian-special-3.jpg</t>
        </is>
      </c>
      <c r="H36" s="4" t="inlineStr">
        <is>
          <t>https://savitrigroup.in/products/rice/special-rice/ashirvaad-indian-special/kolam-rice-3/</t>
        </is>
      </c>
    </row>
    <row r="37" ht="90" customHeight="1">
      <c r="A37" s="3" t="inlineStr">
        <is>
          <t>Savitri Ashirvaad Indian Special</t>
        </is>
      </c>
      <c r="B37" s="3" t="inlineStr">
        <is>
          <t>Special Rice</t>
        </is>
      </c>
      <c r="C37" s="3" t="inlineStr">
        <is>
          <t>Kolam</t>
        </is>
      </c>
      <c r="D37" s="3" t="inlineStr">
        <is>
          <t>Pack 4</t>
        </is>
      </c>
      <c r="E37" s="3" t="inlineStr">
        <is>
          <t>Kolam rice</t>
        </is>
      </c>
      <c r="F37" s="2">
        <f>_xlfn.IMAGE("https://savitrigroup.in/wp-content/uploads/2021/08/Indian-Special.png")</f>
        <v/>
      </c>
      <c r="G37" s="4" t="inlineStr">
        <is>
          <t>https://savitrigroup.in/wp-content/uploads/2021/08/Indian-Special.png</t>
        </is>
      </c>
      <c r="H37" s="4" t="inlineStr">
        <is>
          <t>https://savitrigroup.in/products/rice/special-rice/ashirvaad-indian-special/kolam-rice-4/</t>
        </is>
      </c>
    </row>
    <row r="38" ht="90" customHeight="1">
      <c r="A38" s="3" t="inlineStr">
        <is>
          <t>Savitri Ashirvaad Sanjeevani</t>
        </is>
      </c>
      <c r="B38" s="3" t="inlineStr">
        <is>
          <t>Special Rice</t>
        </is>
      </c>
      <c r="C38" s="3" t="inlineStr">
        <is>
          <t>Jeera RNR/48</t>
        </is>
      </c>
      <c r="D38" s="3" t="inlineStr">
        <is>
          <t>Pack 1</t>
        </is>
      </c>
      <c r="E38" s="3" t="inlineStr">
        <is>
          <t>RNR/48 jeera rice</t>
        </is>
      </c>
      <c r="F38" s="2">
        <f>_xlfn.IMAGE("https://savitrigroup.in/wp-content/uploads/2021/08/Sanjeevani-1.png")</f>
        <v/>
      </c>
      <c r="G38" s="4" t="inlineStr">
        <is>
          <t>https://savitrigroup.in/wp-content/uploads/2021/08/Sanjeevani-1.png</t>
        </is>
      </c>
      <c r="H38" s="4" t="inlineStr">
        <is>
          <t>https://savitrigroup.in/products/rice/special-rice/ashirvaad-sanjeevani/jeera-rice-1/</t>
        </is>
      </c>
    </row>
    <row r="39" ht="90" customHeight="1">
      <c r="A39" s="3" t="inlineStr">
        <is>
          <t>Savitri Ashirvaad Sanjeevani</t>
        </is>
      </c>
      <c r="B39" s="3" t="inlineStr">
        <is>
          <t>Special Rice</t>
        </is>
      </c>
      <c r="C39" s="3" t="inlineStr">
        <is>
          <t>Jeera RNR/48</t>
        </is>
      </c>
      <c r="D39" s="3" t="inlineStr">
        <is>
          <t>Pack 2</t>
        </is>
      </c>
      <c r="E39" s="3" t="inlineStr">
        <is>
          <t>RNR/48 jeera rice</t>
        </is>
      </c>
      <c r="F39" s="2">
        <f>_xlfn.IMAGE("https://savitrigroup.in/wp-content/uploads/2021/08/Sanjeevani-2.png")</f>
        <v/>
      </c>
      <c r="G39" s="4" t="inlineStr">
        <is>
          <t>https://savitrigroup.in/wp-content/uploads/2021/08/Sanjeevani-2.png</t>
        </is>
      </c>
      <c r="H39" s="4" t="inlineStr">
        <is>
          <t>https://savitrigroup.in/products/rice/special-rice/ashirvaad-sanjeevani/jeera-rice-2/</t>
        </is>
      </c>
    </row>
    <row r="40" ht="90" customHeight="1">
      <c r="A40" s="3" t="inlineStr">
        <is>
          <t>Savitri Ashirvaad Sanjeevani</t>
        </is>
      </c>
      <c r="B40" s="3" t="inlineStr">
        <is>
          <t>Special Rice</t>
        </is>
      </c>
      <c r="C40" s="3" t="inlineStr">
        <is>
          <t>Jeera RNR/48</t>
        </is>
      </c>
      <c r="D40" s="3" t="inlineStr">
        <is>
          <t>Pack 3</t>
        </is>
      </c>
      <c r="E40" s="3" t="inlineStr">
        <is>
          <t>RNR/48 jeera rice</t>
        </is>
      </c>
      <c r="F40" s="2">
        <f>_xlfn.IMAGE("https://savitrigroup.in/wp-content/uploads/2021/08/Sanjeevani-4.png")</f>
        <v/>
      </c>
      <c r="G40" s="4" t="inlineStr">
        <is>
          <t>https://savitrigroup.in/wp-content/uploads/2021/08/Sanjeevani-4.png</t>
        </is>
      </c>
      <c r="H40" s="4" t="inlineStr">
        <is>
          <t>https://savitrigroup.in/products/rice/special-rice/ashirvaad-sanjeevani/jeera-rice-3/</t>
        </is>
      </c>
    </row>
    <row r="41" ht="90" customHeight="1">
      <c r="A41" s="3" t="inlineStr">
        <is>
          <t>Savitri Ashirvaad Sanjeevani</t>
        </is>
      </c>
      <c r="B41" s="3" t="inlineStr">
        <is>
          <t>Special Rice</t>
        </is>
      </c>
      <c r="C41" s="3" t="inlineStr">
        <is>
          <t>Jeera RNR/48</t>
        </is>
      </c>
      <c r="D41" s="3" t="inlineStr">
        <is>
          <t>Pack 4</t>
        </is>
      </c>
      <c r="E41" s="3" t="inlineStr">
        <is>
          <t>RNR/48 jeera rice</t>
        </is>
      </c>
      <c r="F41" s="2">
        <f>_xlfn.IMAGE("https://savitrigroup.in/wp-content/uploads/2021/08/Sanjeevani-3.png")</f>
        <v/>
      </c>
      <c r="G41" s="4" t="inlineStr">
        <is>
          <t>https://savitrigroup.in/wp-content/uploads/2021/08/Sanjeevani-3.png</t>
        </is>
      </c>
      <c r="H41" s="4" t="inlineStr">
        <is>
          <t>https://savitrigroup.in/products/rice/special-rice/ashirvaad-sanjeevani/jeera-rice-4/</t>
        </is>
      </c>
    </row>
    <row r="42" ht="90" customHeight="1">
      <c r="A42" s="3" t="inlineStr">
        <is>
          <t>Sambramam</t>
        </is>
      </c>
      <c r="B42" s="3" t="inlineStr">
        <is>
          <t>Special Rice</t>
        </is>
      </c>
      <c r="C42" s="3" t="inlineStr">
        <is>
          <t>Jeera</t>
        </is>
      </c>
      <c r="D42" s="3" t="inlineStr">
        <is>
          <t>Blue</t>
        </is>
      </c>
      <c r="E42" s="3" t="inlineStr">
        <is>
          <t>Premium quality rice</t>
        </is>
      </c>
      <c r="F42" s="2">
        <f>_xlfn.IMAGE("https://savitrigroup.in/wp-content/uploads/2025/04/krupa-sambramam-blue.jpg")</f>
        <v/>
      </c>
      <c r="G42" s="4" t="inlineStr">
        <is>
          <t>https://savitrigroup.in/wp-content/uploads/2025/04/krupa-sambramam-blue.jpg</t>
        </is>
      </c>
      <c r="H42" s="3" t="n"/>
    </row>
    <row r="43" ht="90" customHeight="1">
      <c r="A43" s="3" t="inlineStr">
        <is>
          <t>Sambramam</t>
        </is>
      </c>
      <c r="B43" s="3" t="inlineStr">
        <is>
          <t>Special Rice</t>
        </is>
      </c>
      <c r="C43" s="3" t="inlineStr">
        <is>
          <t>Jeera</t>
        </is>
      </c>
      <c r="D43" s="3" t="inlineStr">
        <is>
          <t>Green</t>
        </is>
      </c>
      <c r="E43" s="3" t="inlineStr">
        <is>
          <t>Premium quality rice</t>
        </is>
      </c>
      <c r="F43" s="2">
        <f>_xlfn.IMAGE("https://savitrigroup.in/wp-content/uploads/2025/04/krupa-sambramam-green.jpg")</f>
        <v/>
      </c>
      <c r="G43" s="4" t="inlineStr">
        <is>
          <t>https://savitrigroup.in/wp-content/uploads/2025/04/krupa-sambramam-green.jpg</t>
        </is>
      </c>
      <c r="H43" s="3" t="n"/>
    </row>
    <row r="44" ht="90" customHeight="1">
      <c r="A44" s="3" t="inlineStr">
        <is>
          <t>Sambramam</t>
        </is>
      </c>
      <c r="B44" s="3" t="inlineStr">
        <is>
          <t>Special Rice</t>
        </is>
      </c>
      <c r="C44" s="3" t="inlineStr">
        <is>
          <t>Jeera</t>
        </is>
      </c>
      <c r="D44" s="3" t="inlineStr">
        <is>
          <t>Red</t>
        </is>
      </c>
      <c r="E44" s="3" t="inlineStr">
        <is>
          <t>Premium quality rice</t>
        </is>
      </c>
      <c r="F44" s="2">
        <f>_xlfn.IMAGE("https://savitrigroup.in/wp-content/uploads/2025/04/krupa-sambramam-red.jpg")</f>
        <v/>
      </c>
      <c r="G44" s="4" t="inlineStr">
        <is>
          <t>https://savitrigroup.in/wp-content/uploads/2025/04/krupa-sambramam-red.jpg</t>
        </is>
      </c>
      <c r="H44" s="3" t="n"/>
    </row>
    <row r="45" ht="90" customHeight="1">
      <c r="A45" s="3" t="inlineStr">
        <is>
          <t>Amruth Gold</t>
        </is>
      </c>
      <c r="B45" s="3" t="inlineStr">
        <is>
          <t>Consumer Rice Range</t>
        </is>
      </c>
      <c r="C45" s="3" t="inlineStr">
        <is>
          <t>Sona Masuri</t>
        </is>
      </c>
      <c r="D45" s="3" t="inlineStr">
        <is>
          <t>Pack 1</t>
        </is>
      </c>
      <c r="E45" s="3" t="inlineStr">
        <is>
          <t>2nd quality sona rice</t>
        </is>
      </c>
      <c r="F45" s="2">
        <f>_xlfn.IMAGE("https://savitrigroup.in/wp-content/uploads/2018/02/amruth-1.jpg")</f>
        <v/>
      </c>
      <c r="G45" s="4" t="inlineStr">
        <is>
          <t>https://savitrigroup.in/wp-content/uploads/2018/02/amruth-1.jpg</t>
        </is>
      </c>
      <c r="H45" s="4" t="inlineStr">
        <is>
          <t>https://savitrigroup.in/products/rice/consumer-rice-range/amruth-gold/enrich-1/</t>
        </is>
      </c>
    </row>
    <row r="46" ht="90" customHeight="1">
      <c r="A46" s="3" t="inlineStr">
        <is>
          <t>Amruth Gold</t>
        </is>
      </c>
      <c r="B46" s="3" t="inlineStr">
        <is>
          <t>Consumer Rice Range</t>
        </is>
      </c>
      <c r="C46" s="3" t="inlineStr">
        <is>
          <t>Sona Masuri</t>
        </is>
      </c>
      <c r="D46" s="3" t="inlineStr">
        <is>
          <t>Pack 2</t>
        </is>
      </c>
      <c r="E46" s="3" t="inlineStr">
        <is>
          <t>2nd quality sona rice</t>
        </is>
      </c>
      <c r="F46" s="2">
        <f>_xlfn.IMAGE("https://savitrigroup.in/wp-content/uploads/2018/02/amruth-2.jpg")</f>
        <v/>
      </c>
      <c r="G46" s="4" t="inlineStr">
        <is>
          <t>https://savitrigroup.in/wp-content/uploads/2018/02/amruth-2.jpg</t>
        </is>
      </c>
      <c r="H46" s="4" t="inlineStr">
        <is>
          <t>https://savitrigroup.in/products/rice/consumer-rice-range/amruth-gold/enrich-2/</t>
        </is>
      </c>
    </row>
    <row r="47" ht="90" customHeight="1">
      <c r="A47" s="3" t="inlineStr">
        <is>
          <t>Amruth Gold</t>
        </is>
      </c>
      <c r="B47" s="3" t="inlineStr">
        <is>
          <t>Consumer Rice Range</t>
        </is>
      </c>
      <c r="C47" s="3" t="inlineStr">
        <is>
          <t>Sona Masuri</t>
        </is>
      </c>
      <c r="D47" s="3" t="inlineStr">
        <is>
          <t>Pack 3</t>
        </is>
      </c>
      <c r="E47" s="3" t="inlineStr">
        <is>
          <t>2nd quality sona rice</t>
        </is>
      </c>
      <c r="F47" s="2">
        <f>_xlfn.IMAGE("https://savitrigroup.in/wp-content/uploads/2018/02/amruth-3.jpg")</f>
        <v/>
      </c>
      <c r="G47" s="4" t="inlineStr">
        <is>
          <t>https://savitrigroup.in/wp-content/uploads/2018/02/amruth-3.jpg</t>
        </is>
      </c>
      <c r="H47" s="4" t="inlineStr">
        <is>
          <t>https://savitrigroup.in/products/rice/consumer-rice-range/amruth-gold/enrich-3/</t>
        </is>
      </c>
    </row>
    <row r="48" ht="90" customHeight="1">
      <c r="A48" s="3" t="inlineStr">
        <is>
          <t>Amruth Gold</t>
        </is>
      </c>
      <c r="B48" s="3" t="inlineStr">
        <is>
          <t>Consumer Rice Range</t>
        </is>
      </c>
      <c r="C48" s="3" t="inlineStr">
        <is>
          <t>Sona Masuri</t>
        </is>
      </c>
      <c r="D48" s="3" t="inlineStr">
        <is>
          <t>Pack 4</t>
        </is>
      </c>
      <c r="E48" s="3" t="inlineStr">
        <is>
          <t>2nd quality sona rice</t>
        </is>
      </c>
      <c r="F48" s="2">
        <f>_xlfn.IMAGE("https://savitrigroup.in/wp-content/uploads/2021/08/Amruth-Gold.png")</f>
        <v/>
      </c>
      <c r="G48" s="4" t="inlineStr">
        <is>
          <t>https://savitrigroup.in/wp-content/uploads/2021/08/Amruth-Gold.png</t>
        </is>
      </c>
      <c r="H48" s="4" t="inlineStr">
        <is>
          <t>https://savitrigroup.in/products/rice/consumer-rice-range/amruth-gold/enrich-4/</t>
        </is>
      </c>
    </row>
    <row r="49" ht="90" customHeight="1">
      <c r="A49" s="3" t="inlineStr">
        <is>
          <t>Avani</t>
        </is>
      </c>
      <c r="B49" s="3" t="inlineStr">
        <is>
          <t>Consumer Rice Range</t>
        </is>
      </c>
      <c r="C49" s="3" t="inlineStr">
        <is>
          <t>Jeera</t>
        </is>
      </c>
      <c r="D49" s="3" t="inlineStr">
        <is>
          <t>Blue</t>
        </is>
      </c>
      <c r="E49" s="3" t="inlineStr">
        <is>
          <t>Premium quality rice</t>
        </is>
      </c>
      <c r="F49" s="2">
        <f>_xlfn.IMAGE("https://savitrigroup.in/wp-content/uploads/2025/04/avani-blue.jpg")</f>
        <v/>
      </c>
      <c r="G49" s="4" t="inlineStr">
        <is>
          <t>https://savitrigroup.in/wp-content/uploads/2025/04/avani-blue.jpg</t>
        </is>
      </c>
      <c r="H49" s="3" t="n"/>
    </row>
    <row r="50" ht="90" customHeight="1">
      <c r="A50" s="3" t="inlineStr">
        <is>
          <t>Avani</t>
        </is>
      </c>
      <c r="B50" s="3" t="inlineStr">
        <is>
          <t>Consumer Rice Range</t>
        </is>
      </c>
      <c r="C50" s="3" t="inlineStr">
        <is>
          <t>Jeera</t>
        </is>
      </c>
      <c r="D50" s="3" t="inlineStr">
        <is>
          <t>Green</t>
        </is>
      </c>
      <c r="E50" s="3" t="inlineStr">
        <is>
          <t>Premium quality rice</t>
        </is>
      </c>
      <c r="F50" s="2">
        <f>_xlfn.IMAGE("https://savitrigroup.in/wp-content/uploads/2025/04/avani-green.jpg")</f>
        <v/>
      </c>
      <c r="G50" s="4" t="inlineStr">
        <is>
          <t>https://savitrigroup.in/wp-content/uploads/2025/04/avani-green.jpg</t>
        </is>
      </c>
      <c r="H50" s="3" t="n"/>
    </row>
    <row r="51" ht="90" customHeight="1">
      <c r="A51" s="3" t="inlineStr">
        <is>
          <t>Avani</t>
        </is>
      </c>
      <c r="B51" s="3" t="inlineStr">
        <is>
          <t>Consumer Rice Range</t>
        </is>
      </c>
      <c r="C51" s="3" t="inlineStr">
        <is>
          <t>Jeera</t>
        </is>
      </c>
      <c r="D51" s="3" t="inlineStr">
        <is>
          <t>Red</t>
        </is>
      </c>
      <c r="E51" s="3" t="inlineStr">
        <is>
          <t>Premium quality rice</t>
        </is>
      </c>
      <c r="F51" s="2">
        <f>_xlfn.IMAGE("https://savitrigroup.in/wp-content/uploads/2025/04/avani-red.jpg")</f>
        <v/>
      </c>
      <c r="G51" s="4" t="inlineStr">
        <is>
          <t>https://savitrigroup.in/wp-content/uploads/2025/04/avani-red.jpg</t>
        </is>
      </c>
      <c r="H51" s="3" t="n"/>
    </row>
    <row r="52" ht="90" customHeight="1">
      <c r="A52" s="3" t="inlineStr">
        <is>
          <t>Akshata</t>
        </is>
      </c>
      <c r="B52" s="3" t="inlineStr">
        <is>
          <t>Consumer Rice Range</t>
        </is>
      </c>
      <c r="C52" s="3" t="inlineStr">
        <is>
          <t>Sona Masuri</t>
        </is>
      </c>
      <c r="D52" s="3" t="inlineStr">
        <is>
          <t>Pack 1</t>
        </is>
      </c>
      <c r="E52" s="3" t="inlineStr">
        <is>
          <t>3rd quality sona rice</t>
        </is>
      </c>
      <c r="F52" s="2">
        <f>_xlfn.IMAGE("https://savitrigroup.in/wp-content/uploads/2018/02/akshata-1.jpg")</f>
        <v/>
      </c>
      <c r="G52" s="4" t="inlineStr">
        <is>
          <t>https://savitrigroup.in/wp-content/uploads/2018/02/akshata-1.jpg</t>
        </is>
      </c>
      <c r="H52" s="4" t="inlineStr">
        <is>
          <t>https://savitrigroup.in/products/rice/consumer-rice-range/akshata/bless-of-life-1/</t>
        </is>
      </c>
    </row>
    <row r="53" ht="90" customHeight="1">
      <c r="A53" s="3" t="inlineStr">
        <is>
          <t>Akshata</t>
        </is>
      </c>
      <c r="B53" s="3" t="inlineStr">
        <is>
          <t>Consumer Rice Range</t>
        </is>
      </c>
      <c r="C53" s="3" t="inlineStr">
        <is>
          <t>Sona Masuri</t>
        </is>
      </c>
      <c r="D53" s="3" t="inlineStr">
        <is>
          <t>Pack 2</t>
        </is>
      </c>
      <c r="E53" s="3" t="inlineStr">
        <is>
          <t>3rd quality sona rice</t>
        </is>
      </c>
      <c r="F53" s="2">
        <f>_xlfn.IMAGE("https://savitrigroup.in/wp-content/uploads/2018/02/akshata-2.jpg")</f>
        <v/>
      </c>
      <c r="G53" s="4" t="inlineStr">
        <is>
          <t>https://savitrigroup.in/wp-content/uploads/2018/02/akshata-2.jpg</t>
        </is>
      </c>
      <c r="H53" s="4" t="inlineStr">
        <is>
          <t>https://savitrigroup.in/products/rice/consumer-rice-range/akshata/bless-of-life-2/</t>
        </is>
      </c>
    </row>
    <row r="54" ht="90" customHeight="1">
      <c r="A54" s="3" t="inlineStr">
        <is>
          <t>Akshata</t>
        </is>
      </c>
      <c r="B54" s="3" t="inlineStr">
        <is>
          <t>Consumer Rice Range</t>
        </is>
      </c>
      <c r="C54" s="3" t="inlineStr">
        <is>
          <t>Sona Masuri</t>
        </is>
      </c>
      <c r="D54" s="3" t="inlineStr">
        <is>
          <t>Pack 3</t>
        </is>
      </c>
      <c r="E54" s="3" t="inlineStr">
        <is>
          <t>3rd quality sona rice</t>
        </is>
      </c>
      <c r="F54" s="2">
        <f>_xlfn.IMAGE("https://savitrigroup.in/wp-content/uploads/2018/02/akshata-3.jpg")</f>
        <v/>
      </c>
      <c r="G54" s="4" t="inlineStr">
        <is>
          <t>https://savitrigroup.in/wp-content/uploads/2018/02/akshata-3.jpg</t>
        </is>
      </c>
      <c r="H54" s="4" t="inlineStr">
        <is>
          <t>https://savitrigroup.in/products/rice/consumer-rice-range/akshata/bless-of-life-3/</t>
        </is>
      </c>
    </row>
    <row r="55" ht="90" customHeight="1">
      <c r="A55" s="3" t="inlineStr">
        <is>
          <t>Akshata</t>
        </is>
      </c>
      <c r="B55" s="3" t="inlineStr">
        <is>
          <t>Consumer Rice Range</t>
        </is>
      </c>
      <c r="C55" s="3" t="inlineStr">
        <is>
          <t>Sona Masuri</t>
        </is>
      </c>
      <c r="D55" s="3" t="inlineStr">
        <is>
          <t>Pack 4</t>
        </is>
      </c>
      <c r="E55" s="3" t="inlineStr">
        <is>
          <t>3rd quality sona rice</t>
        </is>
      </c>
      <c r="F55" s="2">
        <f>_xlfn.IMAGE("https://savitrigroup.in/wp-content/uploads/2021/08/Akshata.png")</f>
        <v/>
      </c>
      <c r="G55" s="4" t="inlineStr">
        <is>
          <t>https://savitrigroup.in/wp-content/uploads/2021/08/Akshata.png</t>
        </is>
      </c>
      <c r="H55" s="4" t="inlineStr">
        <is>
          <t>https://savitrigroup.in/products/rice/consumer-rice-range/akshata/bless-of-life-4/</t>
        </is>
      </c>
    </row>
    <row r="56" ht="90" customHeight="1">
      <c r="A56" s="3" t="inlineStr">
        <is>
          <t>Akshaya</t>
        </is>
      </c>
      <c r="B56" s="3" t="inlineStr">
        <is>
          <t>Consumer Rice Range</t>
        </is>
      </c>
      <c r="C56" s="3" t="inlineStr">
        <is>
          <t>Jeera</t>
        </is>
      </c>
      <c r="D56" s="3" t="inlineStr">
        <is>
          <t>Silk Blue</t>
        </is>
      </c>
      <c r="E56" s="3" t="inlineStr">
        <is>
          <t>Premium quality rice</t>
        </is>
      </c>
      <c r="F56" s="2">
        <f>_xlfn.IMAGE("https://savitrigroup.in/wp-content/uploads/2025/04/akshaya-silk-blue.jpg")</f>
        <v/>
      </c>
      <c r="G56" s="4" t="inlineStr">
        <is>
          <t>https://savitrigroup.in/wp-content/uploads/2025/04/akshaya-silk-blue.jpg</t>
        </is>
      </c>
      <c r="H56" s="3" t="n"/>
    </row>
    <row r="57" ht="90" customHeight="1">
      <c r="A57" s="3" t="inlineStr">
        <is>
          <t>Akshaya</t>
        </is>
      </c>
      <c r="B57" s="3" t="inlineStr">
        <is>
          <t>Consumer Rice Range</t>
        </is>
      </c>
      <c r="C57" s="3" t="inlineStr">
        <is>
          <t>Jeera</t>
        </is>
      </c>
      <c r="D57" s="3" t="inlineStr">
        <is>
          <t>Silk Green</t>
        </is>
      </c>
      <c r="E57" s="3" t="inlineStr">
        <is>
          <t>Premium quality rice</t>
        </is>
      </c>
      <c r="F57" s="2">
        <f>_xlfn.IMAGE("https://savitrigroup.in/wp-content/uploads/2025/04/akshaya-silk-green.jpg")</f>
        <v/>
      </c>
      <c r="G57" s="4" t="inlineStr">
        <is>
          <t>https://savitrigroup.in/wp-content/uploads/2025/04/akshaya-silk-green.jpg</t>
        </is>
      </c>
      <c r="H57" s="3" t="n"/>
    </row>
    <row r="58" ht="90" customHeight="1">
      <c r="A58" s="3" t="inlineStr">
        <is>
          <t>Akshaya</t>
        </is>
      </c>
      <c r="B58" s="3" t="inlineStr">
        <is>
          <t>Consumer Rice Range</t>
        </is>
      </c>
      <c r="C58" s="3" t="inlineStr">
        <is>
          <t>Jeera</t>
        </is>
      </c>
      <c r="D58" s="3" t="inlineStr">
        <is>
          <t>Silk Red</t>
        </is>
      </c>
      <c r="E58" s="3" t="inlineStr">
        <is>
          <t>Premium quality rice</t>
        </is>
      </c>
      <c r="F58" s="2">
        <f>_xlfn.IMAGE("https://savitrigroup.in/wp-content/uploads/2025/04/akshaya-silk-red.jpg")</f>
        <v/>
      </c>
      <c r="G58" s="4" t="inlineStr">
        <is>
          <t>https://savitrigroup.in/wp-content/uploads/2025/04/akshaya-silk-red.jpg</t>
        </is>
      </c>
      <c r="H58" s="3" t="n"/>
    </row>
    <row r="59" ht="90" customHeight="1">
      <c r="A59" s="3" t="inlineStr">
        <is>
          <t>Family</t>
        </is>
      </c>
      <c r="B59" s="3" t="inlineStr">
        <is>
          <t>Economical Rice Range</t>
        </is>
      </c>
      <c r="C59" s="3" t="inlineStr">
        <is>
          <t>Sona Masuri</t>
        </is>
      </c>
      <c r="D59" s="3" t="inlineStr">
        <is>
          <t>Pack 1</t>
        </is>
      </c>
      <c r="E59" s="3" t="inlineStr">
        <is>
          <t>4th quality sona rice</t>
        </is>
      </c>
      <c r="F59" s="2">
        <f>_xlfn.IMAGE("https://savitrigroup.in/wp-content/uploads/2018/02/family-1.jpg")</f>
        <v/>
      </c>
      <c r="G59" s="4" t="inlineStr">
        <is>
          <t>https://savitrigroup.in/wp-content/uploads/2018/02/family-1.jpg</t>
        </is>
      </c>
      <c r="H59" s="4" t="inlineStr">
        <is>
          <t>https://savitrigroup.in/products/rice/economical-rice-range/family/everyone-choice-1/</t>
        </is>
      </c>
    </row>
    <row r="60" ht="90" customHeight="1">
      <c r="A60" s="3" t="inlineStr">
        <is>
          <t>Family</t>
        </is>
      </c>
      <c r="B60" s="3" t="inlineStr">
        <is>
          <t>Economical Rice Range</t>
        </is>
      </c>
      <c r="C60" s="3" t="inlineStr">
        <is>
          <t>Sona Masuri</t>
        </is>
      </c>
      <c r="D60" s="3" t="inlineStr">
        <is>
          <t>Pack 2</t>
        </is>
      </c>
      <c r="E60" s="3" t="inlineStr">
        <is>
          <t>4th quality sona rice</t>
        </is>
      </c>
      <c r="F60" s="2">
        <f>_xlfn.IMAGE("https://savitrigroup.in/wp-content/uploads/2018/11/family-2.jpg")</f>
        <v/>
      </c>
      <c r="G60" s="4" t="inlineStr">
        <is>
          <t>https://savitrigroup.in/wp-content/uploads/2018/11/family-2.jpg</t>
        </is>
      </c>
      <c r="H60" s="4" t="inlineStr">
        <is>
          <t>https://savitrigroup.in/products/rice/economical-rice-range/family/everyone-choice-2/</t>
        </is>
      </c>
    </row>
    <row r="61" ht="90" customHeight="1">
      <c r="A61" s="3" t="inlineStr">
        <is>
          <t>Family</t>
        </is>
      </c>
      <c r="B61" s="3" t="inlineStr">
        <is>
          <t>Economical Rice Range</t>
        </is>
      </c>
      <c r="C61" s="3" t="inlineStr">
        <is>
          <t>Sona Masuri</t>
        </is>
      </c>
      <c r="D61" s="3" t="inlineStr">
        <is>
          <t>Pack 3</t>
        </is>
      </c>
      <c r="E61" s="3" t="inlineStr">
        <is>
          <t>4th quality sona rice</t>
        </is>
      </c>
      <c r="F61" s="2">
        <f>_xlfn.IMAGE("https://savitrigroup.in/wp-content/uploads/2018/11/family-3.jpg")</f>
        <v/>
      </c>
      <c r="G61" s="4" t="inlineStr">
        <is>
          <t>https://savitrigroup.in/wp-content/uploads/2018/11/family-3.jpg</t>
        </is>
      </c>
      <c r="H61" s="4" t="inlineStr">
        <is>
          <t>https://savitrigroup.in/products/rice/economical-rice-range/family/everyone-choice-3/</t>
        </is>
      </c>
    </row>
    <row r="62" ht="90" customHeight="1">
      <c r="A62" s="3" t="inlineStr">
        <is>
          <t>Family</t>
        </is>
      </c>
      <c r="B62" s="3" t="inlineStr">
        <is>
          <t>Economical Rice Range</t>
        </is>
      </c>
      <c r="C62" s="3" t="inlineStr">
        <is>
          <t>Sona Masuri</t>
        </is>
      </c>
      <c r="D62" s="3" t="inlineStr">
        <is>
          <t>Pack 4</t>
        </is>
      </c>
      <c r="E62" s="3" t="inlineStr">
        <is>
          <t>4th quality sona rice</t>
        </is>
      </c>
      <c r="F62" s="2">
        <f>_xlfn.IMAGE("https://savitrigroup.in/wp-content/uploads/2018/11/family-4.jpg")</f>
        <v/>
      </c>
      <c r="G62" s="4" t="inlineStr">
        <is>
          <t>https://savitrigroup.in/wp-content/uploads/2018/11/family-4.jpg</t>
        </is>
      </c>
      <c r="H62" s="4" t="inlineStr">
        <is>
          <t>https://savitrigroup.in/products/rice/economical-rice-range/family/everyone-choice-4/</t>
        </is>
      </c>
    </row>
    <row r="63" ht="90" customHeight="1">
      <c r="A63" s="3" t="inlineStr">
        <is>
          <t>Kutumbh</t>
        </is>
      </c>
      <c r="B63" s="3" t="inlineStr">
        <is>
          <t>Economical Rice Range</t>
        </is>
      </c>
      <c r="C63" s="3" t="inlineStr">
        <is>
          <t>Sona Masuri</t>
        </is>
      </c>
      <c r="D63" s="3" t="inlineStr">
        <is>
          <t>Blue</t>
        </is>
      </c>
      <c r="E63" s="3" t="inlineStr">
        <is>
          <t>Premium quality rice</t>
        </is>
      </c>
      <c r="F63" s="2">
        <f>_xlfn.IMAGE("https://savitrigroup.in/wp-content/uploads/2025/04/kutumbh-blue.jpg")</f>
        <v/>
      </c>
      <c r="G63" s="4" t="inlineStr">
        <is>
          <t>https://savitrigroup.in/wp-content/uploads/2025/04/kutumbh-blue.jpg</t>
        </is>
      </c>
      <c r="H63" s="3" t="n"/>
    </row>
    <row r="64" ht="90" customHeight="1">
      <c r="A64" s="3" t="inlineStr">
        <is>
          <t>Kutumbh</t>
        </is>
      </c>
      <c r="B64" s="3" t="inlineStr">
        <is>
          <t>Economical Rice Range</t>
        </is>
      </c>
      <c r="C64" s="3" t="inlineStr">
        <is>
          <t>Sona Masuri</t>
        </is>
      </c>
      <c r="D64" s="3" t="inlineStr">
        <is>
          <t>Green</t>
        </is>
      </c>
      <c r="E64" s="3" t="inlineStr">
        <is>
          <t>Premium quality rice</t>
        </is>
      </c>
      <c r="F64" s="2">
        <f>_xlfn.IMAGE("https://savitrigroup.in/wp-content/uploads/2025/04/kutumbh-green.jpg")</f>
        <v/>
      </c>
      <c r="G64" s="4" t="inlineStr">
        <is>
          <t>https://savitrigroup.in/wp-content/uploads/2025/04/kutumbh-green.jpg</t>
        </is>
      </c>
      <c r="H64" s="3" t="n"/>
    </row>
    <row r="65" ht="90" customHeight="1">
      <c r="A65" s="3" t="inlineStr">
        <is>
          <t>Kutumbh</t>
        </is>
      </c>
      <c r="B65" s="3" t="inlineStr">
        <is>
          <t>Economical Rice Range</t>
        </is>
      </c>
      <c r="C65" s="3" t="inlineStr">
        <is>
          <t>Sona Masuri</t>
        </is>
      </c>
      <c r="D65" s="3" t="inlineStr">
        <is>
          <t>Red</t>
        </is>
      </c>
      <c r="E65" s="3" t="inlineStr">
        <is>
          <t>Premium quality rice</t>
        </is>
      </c>
      <c r="F65" s="2">
        <f>_xlfn.IMAGE("https://savitrigroup.in/wp-content/uploads/2025/04/kutumbh-red.jpg")</f>
        <v/>
      </c>
      <c r="G65" s="4" t="inlineStr">
        <is>
          <t>https://savitrigroup.in/wp-content/uploads/2025/04/kutumbh-red.jpg</t>
        </is>
      </c>
      <c r="H65" s="3" t="n"/>
    </row>
    <row r="66" ht="90" customHeight="1">
      <c r="A66" s="3" t="inlineStr">
        <is>
          <t>Ayush</t>
        </is>
      </c>
      <c r="B66" s="3" t="inlineStr">
        <is>
          <t>Economical Rice Range</t>
        </is>
      </c>
      <c r="C66" s="3" t="inlineStr">
        <is>
          <t>IR 64</t>
        </is>
      </c>
      <c r="D66" s="3" t="inlineStr">
        <is>
          <t>Pack 1</t>
        </is>
      </c>
      <c r="E66" s="3" t="inlineStr">
        <is>
          <t>Coarse rice (IR 64)</t>
        </is>
      </c>
      <c r="F66" s="2">
        <f>_xlfn.IMAGE("https://savitrigroup.in/wp-content/uploads/2018/02/auysh-1.jpg")</f>
        <v/>
      </c>
      <c r="G66" s="4" t="inlineStr">
        <is>
          <t>https://savitrigroup.in/wp-content/uploads/2018/02/auysh-1.jpg</t>
        </is>
      </c>
      <c r="H66" s="4" t="inlineStr">
        <is>
          <t>https://savitrigroup.in/products/rice/economical-rice-range/ayush/power-to-life-1/</t>
        </is>
      </c>
    </row>
    <row r="67" ht="90" customHeight="1">
      <c r="A67" s="3" t="inlineStr">
        <is>
          <t>Ayush</t>
        </is>
      </c>
      <c r="B67" s="3" t="inlineStr">
        <is>
          <t>Economical Rice Range</t>
        </is>
      </c>
      <c r="C67" s="3" t="inlineStr">
        <is>
          <t>IR 64</t>
        </is>
      </c>
      <c r="D67" s="3" t="inlineStr">
        <is>
          <t>Pack 2</t>
        </is>
      </c>
      <c r="E67" s="3" t="inlineStr">
        <is>
          <t>Coarse rice (IR 64)</t>
        </is>
      </c>
      <c r="F67" s="2">
        <f>_xlfn.IMAGE("https://savitrigroup.in/wp-content/uploads/2018/02/auysh-2.jpg")</f>
        <v/>
      </c>
      <c r="G67" s="4" t="inlineStr">
        <is>
          <t>https://savitrigroup.in/wp-content/uploads/2018/02/auysh-2.jpg</t>
        </is>
      </c>
      <c r="H67" s="4" t="inlineStr">
        <is>
          <t>https://savitrigroup.in/products/rice/economical-rice-range/ayush/power-to-life-2/</t>
        </is>
      </c>
    </row>
    <row r="68" ht="90" customHeight="1">
      <c r="A68" s="3" t="inlineStr">
        <is>
          <t>Ayush</t>
        </is>
      </c>
      <c r="B68" s="3" t="inlineStr">
        <is>
          <t>Economical Rice Range</t>
        </is>
      </c>
      <c r="C68" s="3" t="inlineStr">
        <is>
          <t>IR 64</t>
        </is>
      </c>
      <c r="D68" s="3" t="inlineStr">
        <is>
          <t>Pack 3</t>
        </is>
      </c>
      <c r="E68" s="3" t="inlineStr">
        <is>
          <t>Coarse rice (IR 64)</t>
        </is>
      </c>
      <c r="F68" s="2">
        <f>_xlfn.IMAGE("https://savitrigroup.in/wp-content/uploads/2018/02/auysh-3.jpg")</f>
        <v/>
      </c>
      <c r="G68" s="4" t="inlineStr">
        <is>
          <t>https://savitrigroup.in/wp-content/uploads/2018/02/auysh-3.jpg</t>
        </is>
      </c>
      <c r="H68" s="4" t="inlineStr">
        <is>
          <t>https://savitrigroup.in/products/rice/economical-rice-range/ayush/power-to-life-3/</t>
        </is>
      </c>
    </row>
    <row r="69" ht="90" customHeight="1">
      <c r="A69" s="3" t="inlineStr">
        <is>
          <t>Krupa</t>
        </is>
      </c>
      <c r="B69" s="3" t="inlineStr">
        <is>
          <t>Economical Rice Range</t>
        </is>
      </c>
      <c r="C69" s="3" t="inlineStr">
        <is>
          <t>Sona Masuri</t>
        </is>
      </c>
      <c r="D69" s="3" t="inlineStr">
        <is>
          <t>Blue</t>
        </is>
      </c>
      <c r="E69" s="3" t="inlineStr">
        <is>
          <t>Premium quality rice</t>
        </is>
      </c>
      <c r="F69" s="2">
        <f>_xlfn.IMAGE("https://savitrigroup.in/wp-content/uploads/2025/04/krupa-blue.jpg")</f>
        <v/>
      </c>
      <c r="G69" s="4" t="inlineStr">
        <is>
          <t>https://savitrigroup.in/wp-content/uploads/2025/04/krupa-blue.jpg</t>
        </is>
      </c>
      <c r="H69" s="3" t="n"/>
    </row>
    <row r="70" ht="90" customHeight="1">
      <c r="A70" s="3" t="inlineStr">
        <is>
          <t>Krupa</t>
        </is>
      </c>
      <c r="B70" s="3" t="inlineStr">
        <is>
          <t>Economical Rice Range</t>
        </is>
      </c>
      <c r="C70" s="3" t="inlineStr">
        <is>
          <t>Sona Masuri</t>
        </is>
      </c>
      <c r="D70" s="3" t="inlineStr">
        <is>
          <t>Green</t>
        </is>
      </c>
      <c r="E70" s="3" t="inlineStr">
        <is>
          <t>Premium quality rice</t>
        </is>
      </c>
      <c r="F70" s="2">
        <f>_xlfn.IMAGE("https://savitrigroup.in/wp-content/uploads/2025/04/krupa-green.jpg")</f>
        <v/>
      </c>
      <c r="G70" s="4" t="inlineStr">
        <is>
          <t>https://savitrigroup.in/wp-content/uploads/2025/04/krupa-green.jpg</t>
        </is>
      </c>
      <c r="H70" s="3" t="n"/>
    </row>
    <row r="71" ht="90" customHeight="1">
      <c r="A71" s="3" t="inlineStr">
        <is>
          <t>Krupa</t>
        </is>
      </c>
      <c r="B71" s="3" t="inlineStr">
        <is>
          <t>Economical Rice Range</t>
        </is>
      </c>
      <c r="C71" s="3" t="inlineStr">
        <is>
          <t>Sona Masuri</t>
        </is>
      </c>
      <c r="D71" s="3" t="inlineStr">
        <is>
          <t>Red</t>
        </is>
      </c>
      <c r="E71" s="3" t="inlineStr">
        <is>
          <t>Premium quality rice</t>
        </is>
      </c>
      <c r="F71" s="2">
        <f>_xlfn.IMAGE("https://savitrigroup.in/wp-content/uploads/2025/04/krupa-red.jpg")</f>
        <v/>
      </c>
      <c r="G71" s="4" t="inlineStr">
        <is>
          <t>https://savitrigroup.in/wp-content/uploads/2025/04/krupa-red.jpg</t>
        </is>
      </c>
      <c r="H71" s="3" t="n"/>
    </row>
    <row r="72" ht="90" customHeight="1">
      <c r="A72" s="3" t="inlineStr">
        <is>
          <t>Ajantha</t>
        </is>
      </c>
      <c r="B72" s="3" t="inlineStr">
        <is>
          <t>Economical Rice Range</t>
        </is>
      </c>
      <c r="C72" s="3" t="inlineStr">
        <is>
          <t>Sona Masuri</t>
        </is>
      </c>
      <c r="D72" s="3" t="inlineStr">
        <is>
          <t>Pack 1</t>
        </is>
      </c>
      <c r="E72" s="3" t="inlineStr">
        <is>
          <t>Sona S/R rice</t>
        </is>
      </c>
      <c r="F72" s="2">
        <f>_xlfn.IMAGE("https://savitrigroup.in/wp-content/uploads/2018/02/ajanta-1.jpg")</f>
        <v/>
      </c>
      <c r="G72" s="4" t="inlineStr">
        <is>
          <t>https://savitrigroup.in/wp-content/uploads/2018/02/ajanta-1.jpg</t>
        </is>
      </c>
      <c r="H72" s="4" t="inlineStr">
        <is>
          <t>https://savitrigroup.in/products/rice/economical-rice-range/ajantha/just-the-best-1/</t>
        </is>
      </c>
    </row>
    <row r="73" ht="90" customHeight="1">
      <c r="A73" s="3" t="inlineStr">
        <is>
          <t>Ajantha</t>
        </is>
      </c>
      <c r="B73" s="3" t="inlineStr">
        <is>
          <t>Economical Rice Range</t>
        </is>
      </c>
      <c r="C73" s="3" t="inlineStr">
        <is>
          <t>Sona Masuri</t>
        </is>
      </c>
      <c r="D73" s="3" t="inlineStr">
        <is>
          <t>Pack 2</t>
        </is>
      </c>
      <c r="E73" s="3" t="inlineStr">
        <is>
          <t>Sona S/R rice</t>
        </is>
      </c>
      <c r="F73" s="2">
        <f>_xlfn.IMAGE("https://savitrigroup.in/wp-content/uploads/2018/02/ajanta-2.jpg")</f>
        <v/>
      </c>
      <c r="G73" s="4" t="inlineStr">
        <is>
          <t>https://savitrigroup.in/wp-content/uploads/2018/02/ajanta-2.jpg</t>
        </is>
      </c>
      <c r="H73" s="4" t="inlineStr">
        <is>
          <t>https://savitrigroup.in/products/rice/economical-rice-range/ajantha/just-the-best-2/</t>
        </is>
      </c>
    </row>
    <row r="74" ht="90" customHeight="1">
      <c r="A74" s="3" t="inlineStr">
        <is>
          <t>Ajantha</t>
        </is>
      </c>
      <c r="B74" s="3" t="inlineStr">
        <is>
          <t>Economical Rice Range</t>
        </is>
      </c>
      <c r="C74" s="3" t="inlineStr">
        <is>
          <t>Sona Masuri</t>
        </is>
      </c>
      <c r="D74" s="3" t="inlineStr">
        <is>
          <t>Pack 3</t>
        </is>
      </c>
      <c r="E74" s="3" t="inlineStr">
        <is>
          <t>Sona S/R rice</t>
        </is>
      </c>
      <c r="F74" s="2">
        <f>_xlfn.IMAGE("https://savitrigroup.in/wp-content/uploads/2018/02/ajanta-3.jpg")</f>
        <v/>
      </c>
      <c r="G74" s="4" t="inlineStr">
        <is>
          <t>https://savitrigroup.in/wp-content/uploads/2018/02/ajanta-3.jpg</t>
        </is>
      </c>
      <c r="H74" s="4" t="inlineStr">
        <is>
          <t>https://savitrigroup.in/products/rice/economical-rice-range/ajantha/just-the-best-3/</t>
        </is>
      </c>
    </row>
    <row r="75" ht="90" customHeight="1">
      <c r="A75" s="3" t="inlineStr">
        <is>
          <t>Elephanta</t>
        </is>
      </c>
      <c r="B75" s="3" t="inlineStr">
        <is>
          <t>Economical Rice Range</t>
        </is>
      </c>
      <c r="C75" s="3" t="inlineStr">
        <is>
          <t>Sona Masuri</t>
        </is>
      </c>
      <c r="D75" s="3" t="inlineStr">
        <is>
          <t>Pack 1</t>
        </is>
      </c>
      <c r="E75" s="3" t="inlineStr">
        <is>
          <t>Old sona S/R rice</t>
        </is>
      </c>
      <c r="F75" s="2">
        <f>_xlfn.IMAGE("https://savitrigroup.in/wp-content/uploads/2018/02/elephanta-1.jpg")</f>
        <v/>
      </c>
      <c r="G75" s="4" t="inlineStr">
        <is>
          <t>https://savitrigroup.in/wp-content/uploads/2018/02/elephanta-1.jpg</t>
        </is>
      </c>
      <c r="H75" s="4" t="inlineStr">
        <is>
          <t>https://savitrigroup.in/products/rice/economical-rice-range/elephanta/eat-strong-1/</t>
        </is>
      </c>
    </row>
    <row r="76" ht="90" customHeight="1">
      <c r="A76" s="3" t="inlineStr">
        <is>
          <t>Elephanta</t>
        </is>
      </c>
      <c r="B76" s="3" t="inlineStr">
        <is>
          <t>Economical Rice Range</t>
        </is>
      </c>
      <c r="C76" s="3" t="inlineStr">
        <is>
          <t>Sona Masuri</t>
        </is>
      </c>
      <c r="D76" s="3" t="inlineStr">
        <is>
          <t>Pack 2</t>
        </is>
      </c>
      <c r="E76" s="3" t="inlineStr">
        <is>
          <t>Old sona S/R rice</t>
        </is>
      </c>
      <c r="F76" s="2">
        <f>_xlfn.IMAGE("https://savitrigroup.in/wp-content/uploads/2018/02/elephanta-2.jpg")</f>
        <v/>
      </c>
      <c r="G76" s="4" t="inlineStr">
        <is>
          <t>https://savitrigroup.in/wp-content/uploads/2018/02/elephanta-2.jpg</t>
        </is>
      </c>
      <c r="H76" s="4" t="inlineStr">
        <is>
          <t>https://savitrigroup.in/products/rice/economical-rice-range/elephanta/eat-strong-2/</t>
        </is>
      </c>
    </row>
    <row r="77" ht="90" customHeight="1">
      <c r="A77" s="3" t="inlineStr">
        <is>
          <t>Elephanta</t>
        </is>
      </c>
      <c r="B77" s="3" t="inlineStr">
        <is>
          <t>Economical Rice Range</t>
        </is>
      </c>
      <c r="C77" s="3" t="inlineStr">
        <is>
          <t>Sona Masuri</t>
        </is>
      </c>
      <c r="D77" s="3" t="inlineStr">
        <is>
          <t>Pack 3</t>
        </is>
      </c>
      <c r="E77" s="3" t="inlineStr">
        <is>
          <t>Old sona S/R rice</t>
        </is>
      </c>
      <c r="F77" s="2">
        <f>_xlfn.IMAGE("https://savitrigroup.in/wp-content/uploads/2018/02/elephanta-3.jpg")</f>
        <v/>
      </c>
      <c r="G77" s="4" t="inlineStr">
        <is>
          <t>https://savitrigroup.in/wp-content/uploads/2018/02/elephanta-3.jpg</t>
        </is>
      </c>
      <c r="H77" s="4" t="inlineStr">
        <is>
          <t>https://savitrigroup.in/products/rice/economical-rice-range/elephanta/eat-strong-3/</t>
        </is>
      </c>
    </row>
    <row r="78" ht="90" customHeight="1">
      <c r="A78" s="3" t="inlineStr">
        <is>
          <t>Ellora</t>
        </is>
      </c>
      <c r="B78" s="3" t="inlineStr">
        <is>
          <t>Economical Rice Range</t>
        </is>
      </c>
      <c r="C78" s="3" t="inlineStr">
        <is>
          <t>Sona Masuri</t>
        </is>
      </c>
      <c r="D78" s="3" t="inlineStr">
        <is>
          <t>Pack 1</t>
        </is>
      </c>
      <c r="E78" s="3" t="inlineStr">
        <is>
          <t>Old sona S/R rice</t>
        </is>
      </c>
      <c r="F78" s="2">
        <f>_xlfn.IMAGE("https://savitrigroup.in/wp-content/uploads/2018/02/ellora-1.jpg")</f>
        <v/>
      </c>
      <c r="G78" s="4" t="inlineStr">
        <is>
          <t>https://savitrigroup.in/wp-content/uploads/2018/02/ellora-1.jpg</t>
        </is>
      </c>
      <c r="H78" s="4" t="inlineStr">
        <is>
          <t>https://savitrigroup.in/products/rice/economical-rice-range/ellora/strong-and-beautiful-1/</t>
        </is>
      </c>
    </row>
    <row r="79" ht="90" customHeight="1">
      <c r="A79" s="3" t="inlineStr">
        <is>
          <t>Ellora</t>
        </is>
      </c>
      <c r="B79" s="3" t="inlineStr">
        <is>
          <t>Economical Rice Range</t>
        </is>
      </c>
      <c r="C79" s="3" t="inlineStr">
        <is>
          <t>Sona Masuri</t>
        </is>
      </c>
      <c r="D79" s="3" t="inlineStr">
        <is>
          <t>Pack 2</t>
        </is>
      </c>
      <c r="E79" s="3" t="inlineStr">
        <is>
          <t>Old sona S/R rice</t>
        </is>
      </c>
      <c r="F79" s="2">
        <f>_xlfn.IMAGE("https://savitrigroup.in/wp-content/uploads/2018/02/ellora-2.jpg")</f>
        <v/>
      </c>
      <c r="G79" s="4" t="inlineStr">
        <is>
          <t>https://savitrigroup.in/wp-content/uploads/2018/02/ellora-2.jpg</t>
        </is>
      </c>
      <c r="H79" s="4" t="inlineStr">
        <is>
          <t>https://savitrigroup.in/products/rice/economical-rice-range/ellora/strong-and-beautiful-2/</t>
        </is>
      </c>
    </row>
    <row r="80" ht="90" customHeight="1">
      <c r="A80" s="3" t="inlineStr">
        <is>
          <t>Ellora</t>
        </is>
      </c>
      <c r="B80" s="3" t="inlineStr">
        <is>
          <t>Economical Rice Range</t>
        </is>
      </c>
      <c r="C80" s="3" t="inlineStr">
        <is>
          <t>Sona Masuri</t>
        </is>
      </c>
      <c r="D80" s="3" t="inlineStr">
        <is>
          <t>Pack 3</t>
        </is>
      </c>
      <c r="E80" s="3" t="inlineStr">
        <is>
          <t>Old sona S/R rice</t>
        </is>
      </c>
      <c r="F80" s="2">
        <f>_xlfn.IMAGE("https://savitrigroup.in/wp-content/uploads/2018/02/ellora-3.jpg")</f>
        <v/>
      </c>
      <c r="G80" s="4" t="inlineStr">
        <is>
          <t>https://savitrigroup.in/wp-content/uploads/2018/02/ellora-3.jpg</t>
        </is>
      </c>
      <c r="H80" s="4" t="inlineStr">
        <is>
          <t>https://savitrigroup.in/products/rice/economical-rice-range/ellora/strong-and-beautiful-3/</t>
        </is>
      </c>
    </row>
    <row r="81" ht="90" customHeight="1">
      <c r="A81" s="3" t="inlineStr">
        <is>
          <t>Ship</t>
        </is>
      </c>
      <c r="B81" s="3" t="inlineStr">
        <is>
          <t>Broken Rice Range</t>
        </is>
      </c>
      <c r="C81" s="3" t="inlineStr">
        <is>
          <t>Broken rice</t>
        </is>
      </c>
      <c r="D81" s="3" t="inlineStr">
        <is>
          <t>Green</t>
        </is>
      </c>
      <c r="E81" s="3" t="inlineStr">
        <is>
          <t>Broken rice</t>
        </is>
      </c>
      <c r="F81" s="2">
        <f>_xlfn.IMAGE("https://savitrigroup.in/wp-content/uploads/2025/04/ship-green.jpg")</f>
        <v/>
      </c>
      <c r="G81" s="4" t="inlineStr">
        <is>
          <t>https://savitrigroup.in/wp-content/uploads/2025/04/ship-green.jpg</t>
        </is>
      </c>
      <c r="H81" s="3" t="n"/>
    </row>
    <row r="82" ht="90" customHeight="1">
      <c r="A82" s="3" t="inlineStr">
        <is>
          <t>Ship</t>
        </is>
      </c>
      <c r="B82" s="3" t="inlineStr">
        <is>
          <t>Broken Rice Range</t>
        </is>
      </c>
      <c r="C82" s="3" t="inlineStr">
        <is>
          <t>Broken rice</t>
        </is>
      </c>
      <c r="D82" s="3" t="inlineStr">
        <is>
          <t>Purple</t>
        </is>
      </c>
      <c r="E82" s="3" t="inlineStr">
        <is>
          <t>Broken rice</t>
        </is>
      </c>
      <c r="F82" s="2">
        <f>_xlfn.IMAGE("https://savitrigroup.in/wp-content/uploads/2025/04/ship-purple.jpg")</f>
        <v/>
      </c>
      <c r="G82" s="4" t="inlineStr">
        <is>
          <t>https://savitrigroup.in/wp-content/uploads/2025/04/ship-purple.jpg</t>
        </is>
      </c>
      <c r="H82" s="3" t="n"/>
    </row>
    <row r="83" ht="90" customHeight="1">
      <c r="A83" s="3" t="inlineStr">
        <is>
          <t>Ship</t>
        </is>
      </c>
      <c r="B83" s="3" t="inlineStr">
        <is>
          <t>Broken Rice Range</t>
        </is>
      </c>
      <c r="C83" s="3" t="inlineStr">
        <is>
          <t>Broken rice</t>
        </is>
      </c>
      <c r="D83" s="3" t="inlineStr">
        <is>
          <t>Red</t>
        </is>
      </c>
      <c r="E83" s="3" t="inlineStr">
        <is>
          <t>Broken rice</t>
        </is>
      </c>
      <c r="F83" s="2">
        <f>_xlfn.IMAGE("https://savitrigroup.in/wp-content/uploads/2025/04/ship-red.jpg")</f>
        <v/>
      </c>
      <c r="G83" s="4" t="inlineStr">
        <is>
          <t>https://savitrigroup.in/wp-content/uploads/2025/04/ship-red.jpg</t>
        </is>
      </c>
      <c r="H83" s="3" t="n"/>
    </row>
    <row r="84" ht="90" customHeight="1">
      <c r="A84" s="3" t="inlineStr">
        <is>
          <t>Train</t>
        </is>
      </c>
      <c r="B84" s="3" t="inlineStr">
        <is>
          <t>Broken Rice Range</t>
        </is>
      </c>
      <c r="C84" s="3" t="inlineStr">
        <is>
          <t>Broken rice</t>
        </is>
      </c>
      <c r="D84" s="3" t="inlineStr">
        <is>
          <t>Blue</t>
        </is>
      </c>
      <c r="E84" s="3" t="inlineStr">
        <is>
          <t>Broken rice</t>
        </is>
      </c>
      <c r="F84" s="2">
        <f>_xlfn.IMAGE("https://savitrigroup.in/wp-content/uploads/2025/04/train-blue.jpg")</f>
        <v/>
      </c>
      <c r="G84" s="4" t="inlineStr">
        <is>
          <t>https://savitrigroup.in/wp-content/uploads/2025/04/train-blue.jpg</t>
        </is>
      </c>
      <c r="H84" s="3" t="n"/>
    </row>
    <row r="85" ht="90" customHeight="1">
      <c r="A85" s="3" t="inlineStr">
        <is>
          <t>Train</t>
        </is>
      </c>
      <c r="B85" s="3" t="inlineStr">
        <is>
          <t>Broken Rice Range</t>
        </is>
      </c>
      <c r="C85" s="3" t="inlineStr">
        <is>
          <t>Broken rice</t>
        </is>
      </c>
      <c r="D85" s="3" t="inlineStr">
        <is>
          <t>Green</t>
        </is>
      </c>
      <c r="E85" s="3" t="inlineStr">
        <is>
          <t>Broken rice</t>
        </is>
      </c>
      <c r="F85" s="2">
        <f>_xlfn.IMAGE("https://savitrigroup.in/wp-content/uploads/2025/04/train-green.jpg")</f>
        <v/>
      </c>
      <c r="G85" s="4" t="inlineStr">
        <is>
          <t>https://savitrigroup.in/wp-content/uploads/2025/04/train-green.jpg</t>
        </is>
      </c>
      <c r="H85" s="3" t="n"/>
    </row>
    <row r="86" ht="90" customHeight="1">
      <c r="A86" s="3" t="inlineStr">
        <is>
          <t>Train</t>
        </is>
      </c>
      <c r="B86" s="3" t="inlineStr">
        <is>
          <t>Broken Rice Range</t>
        </is>
      </c>
      <c r="C86" s="3" t="inlineStr">
        <is>
          <t>Broken rice</t>
        </is>
      </c>
      <c r="D86" s="3" t="inlineStr">
        <is>
          <t>Red</t>
        </is>
      </c>
      <c r="E86" s="3" t="inlineStr">
        <is>
          <t>Broken rice</t>
        </is>
      </c>
      <c r="F86" s="2">
        <f>_xlfn.IMAGE("https://savitrigroup.in/wp-content/uploads/2025/04/train-red.jpg")</f>
        <v/>
      </c>
      <c r="G86" s="4" t="inlineStr">
        <is>
          <t>https://savitrigroup.in/wp-content/uploads/2025/04/train-red.jpg</t>
        </is>
      </c>
      <c r="H86" s="3" t="n"/>
    </row>
    <row r="87" ht="90" customHeight="1">
      <c r="A87" s="3" t="inlineStr">
        <is>
          <t>Lorry</t>
        </is>
      </c>
      <c r="B87" s="3" t="inlineStr">
        <is>
          <t>Broken Rice Range</t>
        </is>
      </c>
      <c r="C87" s="3" t="inlineStr">
        <is>
          <t>Broken rice</t>
        </is>
      </c>
      <c r="D87" s="3" t="inlineStr">
        <is>
          <t>Pack 1</t>
        </is>
      </c>
      <c r="E87" s="3" t="inlineStr">
        <is>
          <t>Broken rice</t>
        </is>
      </c>
      <c r="F87" s="2">
        <f>_xlfn.IMAGE("https://savitrigroup.in/wp-content/uploads/2018/02/lorry-1.jpg")</f>
        <v/>
      </c>
      <c r="G87" s="4" t="inlineStr">
        <is>
          <t>https://savitrigroup.in/wp-content/uploads/2018/02/lorry-1.jpg</t>
        </is>
      </c>
      <c r="H87" s="4" t="inlineStr">
        <is>
          <t>https://savitrigroup.in/products/rice/broken-rice-range/lorry/takes-good-care-1/</t>
        </is>
      </c>
    </row>
    <row r="88" ht="90" customHeight="1">
      <c r="A88" s="3" t="inlineStr">
        <is>
          <t>Lorry</t>
        </is>
      </c>
      <c r="B88" s="3" t="inlineStr">
        <is>
          <t>Broken Rice Range</t>
        </is>
      </c>
      <c r="C88" s="3" t="inlineStr">
        <is>
          <t>Broken rice</t>
        </is>
      </c>
      <c r="D88" s="3" t="inlineStr">
        <is>
          <t>Pack 2</t>
        </is>
      </c>
      <c r="E88" s="3" t="inlineStr">
        <is>
          <t>Broken rice</t>
        </is>
      </c>
      <c r="F88" s="2">
        <f>_xlfn.IMAGE("https://savitrigroup.in/wp-content/uploads/2018/02/lorry-2.jpg")</f>
        <v/>
      </c>
      <c r="G88" s="4" t="inlineStr">
        <is>
          <t>https://savitrigroup.in/wp-content/uploads/2018/02/lorry-2.jpg</t>
        </is>
      </c>
      <c r="H88" s="4" t="inlineStr">
        <is>
          <t>https://savitrigroup.in/products/rice/broken-rice-range/lorry/takes-good-care-2/</t>
        </is>
      </c>
    </row>
    <row r="89" ht="90" customHeight="1">
      <c r="A89" s="3" t="inlineStr">
        <is>
          <t>Lorry</t>
        </is>
      </c>
      <c r="B89" s="3" t="inlineStr">
        <is>
          <t>Broken Rice Range</t>
        </is>
      </c>
      <c r="C89" s="3" t="inlineStr">
        <is>
          <t>Broken rice</t>
        </is>
      </c>
      <c r="D89" s="3" t="inlineStr">
        <is>
          <t>Pack 3</t>
        </is>
      </c>
      <c r="E89" s="3" t="inlineStr">
        <is>
          <t>Broken rice</t>
        </is>
      </c>
      <c r="F89" s="2">
        <f>_xlfn.IMAGE("https://savitrigroup.in/wp-content/uploads/2018/02/lorry-3.jpg")</f>
        <v/>
      </c>
      <c r="G89" s="4" t="inlineStr">
        <is>
          <t>https://savitrigroup.in/wp-content/uploads/2018/02/lorry-3.jpg</t>
        </is>
      </c>
      <c r="H89" s="4" t="inlineStr">
        <is>
          <t>https://savitrigroup.in/products/rice/broken-rice-range/lorry/takes-good-care-3/</t>
        </is>
      </c>
    </row>
    <row r="90" ht="90" customHeight="1">
      <c r="A90" s="3" t="inlineStr">
        <is>
          <t>Lorry</t>
        </is>
      </c>
      <c r="B90" s="3" t="inlineStr">
        <is>
          <t>Broken Rice Range</t>
        </is>
      </c>
      <c r="C90" s="3" t="inlineStr">
        <is>
          <t>Broken rice</t>
        </is>
      </c>
      <c r="D90" s="3" t="inlineStr">
        <is>
          <t>Pack 4</t>
        </is>
      </c>
      <c r="E90" s="3" t="inlineStr">
        <is>
          <t>Broken rice</t>
        </is>
      </c>
      <c r="F90" s="2">
        <f>_xlfn.IMAGE("https://savitrigroup.in/wp-content/uploads/2018/02/lorry-4.jpg")</f>
        <v/>
      </c>
      <c r="G90" s="4" t="inlineStr">
        <is>
          <t>https://savitrigroup.in/wp-content/uploads/2018/02/lorry-4.jpg</t>
        </is>
      </c>
      <c r="H90" s="4" t="inlineStr">
        <is>
          <t>https://savitrigroup.in/products/rice/broken-rice-range/lorry/takes-good-care-4/</t>
        </is>
      </c>
    </row>
    <row r="91" ht="90" customHeight="1">
      <c r="A91" s="3" t="inlineStr">
        <is>
          <t>Lorry</t>
        </is>
      </c>
      <c r="B91" s="3" t="inlineStr">
        <is>
          <t>Broken Rice Range</t>
        </is>
      </c>
      <c r="C91" s="3" t="inlineStr">
        <is>
          <t>Broken rice</t>
        </is>
      </c>
      <c r="D91" s="3" t="inlineStr">
        <is>
          <t>Pack 5</t>
        </is>
      </c>
      <c r="E91" s="3" t="inlineStr">
        <is>
          <t>Broken rice</t>
        </is>
      </c>
      <c r="F91" s="2">
        <f>_xlfn.IMAGE("https://savitrigroup.in/wp-content/uploads/2018/02/lorry-5.jpg")</f>
        <v/>
      </c>
      <c r="G91" s="4" t="inlineStr">
        <is>
          <t>https://savitrigroup.in/wp-content/uploads/2018/02/lorry-5.jpg</t>
        </is>
      </c>
      <c r="H91" s="4" t="inlineStr">
        <is>
          <t>https://savitrigroup.in/products/rice/broken-rice-range/lorry/takes-good-care-5/</t>
        </is>
      </c>
    </row>
    <row r="92" ht="90" customHeight="1">
      <c r="A92" s="3" t="inlineStr">
        <is>
          <t>Lorry</t>
        </is>
      </c>
      <c r="B92" s="3" t="inlineStr">
        <is>
          <t>Broken Rice Range</t>
        </is>
      </c>
      <c r="C92" s="3" t="inlineStr">
        <is>
          <t>Broken rice</t>
        </is>
      </c>
      <c r="D92" s="3" t="inlineStr">
        <is>
          <t>Pack 6</t>
        </is>
      </c>
      <c r="E92" s="3" t="inlineStr">
        <is>
          <t>Broken rice</t>
        </is>
      </c>
      <c r="F92" s="2">
        <f>_xlfn.IMAGE("https://savitrigroup.in/wp-content/uploads/2018/02/lorry-6.jpg")</f>
        <v/>
      </c>
      <c r="G92" s="4" t="inlineStr">
        <is>
          <t>https://savitrigroup.in/wp-content/uploads/2018/02/lorry-6.jpg</t>
        </is>
      </c>
      <c r="H92" s="4" t="inlineStr">
        <is>
          <t>https://savitrigroup.in/products/rice/broken-rice-range/lorry/takes-good-care-6/</t>
        </is>
      </c>
    </row>
    <row r="93" ht="90" customHeight="1">
      <c r="A93" s="3" t="inlineStr">
        <is>
          <t>Tractor</t>
        </is>
      </c>
      <c r="B93" s="3" t="inlineStr">
        <is>
          <t>Broken Rice Range</t>
        </is>
      </c>
      <c r="C93" s="3" t="inlineStr">
        <is>
          <t>Sona broken</t>
        </is>
      </c>
      <c r="D93" s="3" t="inlineStr">
        <is>
          <t>Pack 1</t>
        </is>
      </c>
      <c r="E93" s="3" t="inlineStr">
        <is>
          <t>HMT steam broken rice</t>
        </is>
      </c>
      <c r="F93" s="2">
        <f>_xlfn.IMAGE("https://savitrigroup.in/wp-content/uploads/2018/02/tractor-1.jpg")</f>
        <v/>
      </c>
      <c r="G93" s="4" t="inlineStr">
        <is>
          <t>https://savitrigroup.in/wp-content/uploads/2018/02/tractor-1.jpg</t>
        </is>
      </c>
      <c r="H93" s="4" t="inlineStr">
        <is>
          <t>https://savitrigroup.in/products/rice/broken-rice-range/tractor/hmt-steam-broken-1/</t>
        </is>
      </c>
    </row>
    <row r="94" ht="90" customHeight="1">
      <c r="A94" s="3" t="inlineStr">
        <is>
          <t>Tractor</t>
        </is>
      </c>
      <c r="B94" s="3" t="inlineStr">
        <is>
          <t>Broken Rice Range</t>
        </is>
      </c>
      <c r="C94" s="3" t="inlineStr">
        <is>
          <t>Sona broken</t>
        </is>
      </c>
      <c r="D94" s="3" t="inlineStr">
        <is>
          <t>Pack 2</t>
        </is>
      </c>
      <c r="E94" s="3" t="inlineStr">
        <is>
          <t>HMT steam broken rice</t>
        </is>
      </c>
      <c r="F94" s="2">
        <f>_xlfn.IMAGE("https://savitrigroup.in/wp-content/uploads/2018/02/tractor-2.jpg")</f>
        <v/>
      </c>
      <c r="G94" s="4" t="inlineStr">
        <is>
          <t>https://savitrigroup.in/wp-content/uploads/2018/02/tractor-2.jpg</t>
        </is>
      </c>
      <c r="H94" s="4" t="inlineStr">
        <is>
          <t>https://savitrigroup.in/products/rice/broken-rice-range/tractor/hmt-steam-broken-2/</t>
        </is>
      </c>
    </row>
    <row r="95" ht="90" customHeight="1">
      <c r="A95" s="3" t="inlineStr">
        <is>
          <t>Tractor</t>
        </is>
      </c>
      <c r="B95" s="3" t="inlineStr">
        <is>
          <t>Broken Rice Range</t>
        </is>
      </c>
      <c r="C95" s="3" t="inlineStr">
        <is>
          <t>Sona broken</t>
        </is>
      </c>
      <c r="D95" s="3" t="inlineStr">
        <is>
          <t>Pack 3</t>
        </is>
      </c>
      <c r="E95" s="3" t="inlineStr">
        <is>
          <t>HMT steam broken rice</t>
        </is>
      </c>
      <c r="F95" s="2">
        <f>_xlfn.IMAGE("https://savitrigroup.in/wp-content/uploads/2018/02/tractor-3.jpg")</f>
        <v/>
      </c>
      <c r="G95" s="4" t="inlineStr">
        <is>
          <t>https://savitrigroup.in/wp-content/uploads/2018/02/tractor-3.jpg</t>
        </is>
      </c>
      <c r="H95" s="4" t="inlineStr">
        <is>
          <t>https://savitrigroup.in/products/rice/broken-rice-range/tractor/hmt-steam-broken-3/</t>
        </is>
      </c>
    </row>
    <row r="96" ht="90" customHeight="1">
      <c r="A96" s="3" t="inlineStr">
        <is>
          <t>Tractor</t>
        </is>
      </c>
      <c r="B96" s="3" t="inlineStr">
        <is>
          <t>Broken Rice Range</t>
        </is>
      </c>
      <c r="C96" s="3" t="inlineStr">
        <is>
          <t>Sona broken</t>
        </is>
      </c>
      <c r="D96" s="3" t="inlineStr">
        <is>
          <t>Pack 4</t>
        </is>
      </c>
      <c r="E96" s="3" t="inlineStr">
        <is>
          <t>HMT steam broken rice</t>
        </is>
      </c>
      <c r="F96" s="2">
        <f>_xlfn.IMAGE("https://savitrigroup.in/wp-content/uploads/2018/02/tractor-4.jpg")</f>
        <v/>
      </c>
      <c r="G96" s="4" t="inlineStr">
        <is>
          <t>https://savitrigroup.in/wp-content/uploads/2018/02/tractor-4.jpg</t>
        </is>
      </c>
      <c r="H96" s="4" t="inlineStr">
        <is>
          <t>https://savitrigroup.in/products/rice/broken-rice-range/tractor/hmt-steam-broken-4/</t>
        </is>
      </c>
    </row>
    <row r="97" ht="90" customHeight="1">
      <c r="A97" s="3" t="inlineStr">
        <is>
          <t>Tractor</t>
        </is>
      </c>
      <c r="B97" s="3" t="inlineStr">
        <is>
          <t>Broken Rice Range</t>
        </is>
      </c>
      <c r="C97" s="3" t="inlineStr">
        <is>
          <t>Sona broken</t>
        </is>
      </c>
      <c r="D97" s="3" t="inlineStr">
        <is>
          <t>Pack 5</t>
        </is>
      </c>
      <c r="E97" s="3" t="inlineStr">
        <is>
          <t>HMT steam broken rice</t>
        </is>
      </c>
      <c r="F97" s="2">
        <f>_xlfn.IMAGE("https://savitrigroup.in/wp-content/uploads/2018/02/tractor-5.jpg")</f>
        <v/>
      </c>
      <c r="G97" s="4" t="inlineStr">
        <is>
          <t>https://savitrigroup.in/wp-content/uploads/2018/02/tractor-5.jpg</t>
        </is>
      </c>
      <c r="H97" s="4" t="inlineStr">
        <is>
          <t>https://savitrigroup.in/products/rice/broken-rice-range/tractor/hmt-steam-broken-5/</t>
        </is>
      </c>
    </row>
    <row r="98" ht="90" customHeight="1">
      <c r="A98" s="3" t="inlineStr">
        <is>
          <t>Tractor</t>
        </is>
      </c>
      <c r="B98" s="3" t="inlineStr">
        <is>
          <t>Broken Rice Range</t>
        </is>
      </c>
      <c r="C98" s="3" t="inlineStr">
        <is>
          <t>Sona broken</t>
        </is>
      </c>
      <c r="D98" s="3" t="inlineStr">
        <is>
          <t>Pack 6</t>
        </is>
      </c>
      <c r="E98" s="3" t="inlineStr">
        <is>
          <t>HMT steam broken rice</t>
        </is>
      </c>
      <c r="F98" s="2">
        <f>_xlfn.IMAGE("https://savitrigroup.in/wp-content/uploads/2018/02/tractor-6.jpg")</f>
        <v/>
      </c>
      <c r="G98" s="4" t="inlineStr">
        <is>
          <t>https://savitrigroup.in/wp-content/uploads/2018/02/tractor-6.jpg</t>
        </is>
      </c>
      <c r="H98" s="4" t="inlineStr">
        <is>
          <t>https://savitrigroup.in/products/rice/broken-rice-range/tractor/hmt-steam-broken-6/</t>
        </is>
      </c>
    </row>
    <row r="99" ht="90" customHeight="1">
      <c r="A99" s="3" t="inlineStr">
        <is>
          <t>Auto</t>
        </is>
      </c>
      <c r="B99" s="3" t="inlineStr">
        <is>
          <t>Broken Rice Range</t>
        </is>
      </c>
      <c r="C99" s="3" t="inlineStr">
        <is>
          <t>Sona broken</t>
        </is>
      </c>
      <c r="D99" s="3" t="inlineStr">
        <is>
          <t>Pack 1</t>
        </is>
      </c>
      <c r="E99" s="3" t="inlineStr">
        <is>
          <t>Old sona broken rice</t>
        </is>
      </c>
      <c r="F99" s="2">
        <f>_xlfn.IMAGE("https://savitrigroup.in/wp-content/uploads/2018/02/auto-1.jpg")</f>
        <v/>
      </c>
      <c r="G99" s="4" t="inlineStr">
        <is>
          <t>https://savitrigroup.in/wp-content/uploads/2018/02/auto-1.jpg</t>
        </is>
      </c>
      <c r="H99" s="4" t="inlineStr">
        <is>
          <t>https://savitrigroup.in/products/rice/broken-rice-range/auto/old-sona-broken-rice-1/</t>
        </is>
      </c>
    </row>
    <row r="100" ht="90" customHeight="1">
      <c r="A100" s="3" t="inlineStr">
        <is>
          <t>Auto</t>
        </is>
      </c>
      <c r="B100" s="3" t="inlineStr">
        <is>
          <t>Broken Rice Range</t>
        </is>
      </c>
      <c r="C100" s="3" t="inlineStr">
        <is>
          <t>Sona broken</t>
        </is>
      </c>
      <c r="D100" s="3" t="inlineStr">
        <is>
          <t>Pack 2</t>
        </is>
      </c>
      <c r="E100" s="3" t="inlineStr">
        <is>
          <t>Old sona broken rice</t>
        </is>
      </c>
      <c r="F100" s="2">
        <f>_xlfn.IMAGE("https://savitrigroup.in/wp-content/uploads/2018/02/auto-2.jpg")</f>
        <v/>
      </c>
      <c r="G100" s="4" t="inlineStr">
        <is>
          <t>https://savitrigroup.in/wp-content/uploads/2018/02/auto-2.jpg</t>
        </is>
      </c>
      <c r="H100" s="4" t="inlineStr">
        <is>
          <t>https://savitrigroup.in/products/rice/broken-rice-range/auto/old-sona-broken-rice-2/</t>
        </is>
      </c>
    </row>
    <row r="101" ht="90" customHeight="1">
      <c r="A101" s="3" t="inlineStr">
        <is>
          <t>Auto</t>
        </is>
      </c>
      <c r="B101" s="3" t="inlineStr">
        <is>
          <t>Broken Rice Range</t>
        </is>
      </c>
      <c r="C101" s="3" t="inlineStr">
        <is>
          <t>Sona broken</t>
        </is>
      </c>
      <c r="D101" s="3" t="inlineStr">
        <is>
          <t>Pack 3</t>
        </is>
      </c>
      <c r="E101" s="3" t="inlineStr">
        <is>
          <t>Old sona broken rice</t>
        </is>
      </c>
      <c r="F101" s="2">
        <f>_xlfn.IMAGE("https://savitrigroup.in/wp-content/uploads/2018/02/auto-3.jpg")</f>
        <v/>
      </c>
      <c r="G101" s="4" t="inlineStr">
        <is>
          <t>https://savitrigroup.in/wp-content/uploads/2018/02/auto-3.jpg</t>
        </is>
      </c>
      <c r="H101" s="4" t="inlineStr">
        <is>
          <t>https://savitrigroup.in/products/rice/broken-rice-range/auto/old-sona-broken-rice-3/</t>
        </is>
      </c>
    </row>
    <row r="102" ht="90" customHeight="1">
      <c r="A102" s="3" t="inlineStr">
        <is>
          <t>Scooter</t>
        </is>
      </c>
      <c r="B102" s="3" t="inlineStr">
        <is>
          <t>Broken Rice Range</t>
        </is>
      </c>
      <c r="C102" s="3" t="inlineStr">
        <is>
          <t>Broken rice</t>
        </is>
      </c>
      <c r="D102" s="3" t="inlineStr">
        <is>
          <t>Pack 1</t>
        </is>
      </c>
      <c r="E102" s="3" t="inlineStr">
        <is>
          <t>Broken rice</t>
        </is>
      </c>
      <c r="F102" s="2">
        <f>_xlfn.IMAGE("https://savitrigroup.in/wp-content/uploads/2018/02/scooter-1.jpg")</f>
        <v/>
      </c>
      <c r="G102" s="4" t="inlineStr">
        <is>
          <t>https://savitrigroup.in/wp-content/uploads/2018/02/scooter-1.jpg</t>
        </is>
      </c>
      <c r="H102" s="4" t="inlineStr">
        <is>
          <t>https://savitrigroup.in/products/rice/broken-rice-range/scooter/broken-rice-1/</t>
        </is>
      </c>
    </row>
    <row r="103" ht="90" customHeight="1">
      <c r="A103" s="3" t="inlineStr">
        <is>
          <t>Scooter</t>
        </is>
      </c>
      <c r="B103" s="3" t="inlineStr">
        <is>
          <t>Broken Rice Range</t>
        </is>
      </c>
      <c r="C103" s="3" t="inlineStr">
        <is>
          <t>Broken rice</t>
        </is>
      </c>
      <c r="D103" s="3" t="inlineStr">
        <is>
          <t>Pack 2</t>
        </is>
      </c>
      <c r="E103" s="3" t="inlineStr">
        <is>
          <t>Broken rice</t>
        </is>
      </c>
      <c r="F103" s="2">
        <f>_xlfn.IMAGE("https://savitrigroup.in/wp-content/uploads/2018/02/scooter-2.jpg")</f>
        <v/>
      </c>
      <c r="G103" s="4" t="inlineStr">
        <is>
          <t>https://savitrigroup.in/wp-content/uploads/2018/02/scooter-2.jpg</t>
        </is>
      </c>
      <c r="H103" s="4" t="inlineStr">
        <is>
          <t>https://savitrigroup.in/products/rice/broken-rice-range/scooter/broken-rice-2/</t>
        </is>
      </c>
    </row>
    <row r="104" ht="90" customHeight="1">
      <c r="A104" s="3" t="inlineStr">
        <is>
          <t>Scooter</t>
        </is>
      </c>
      <c r="B104" s="3" t="inlineStr">
        <is>
          <t>Broken Rice Range</t>
        </is>
      </c>
      <c r="C104" s="3" t="inlineStr">
        <is>
          <t>Broken rice</t>
        </is>
      </c>
      <c r="D104" s="3" t="inlineStr">
        <is>
          <t>Pack 3</t>
        </is>
      </c>
      <c r="E104" s="3" t="inlineStr">
        <is>
          <t>Broken rice</t>
        </is>
      </c>
      <c r="F104" s="2">
        <f>_xlfn.IMAGE("https://savitrigroup.in/wp-content/uploads/2018/02/scooter-3.jpg")</f>
        <v/>
      </c>
      <c r="G104" s="4" t="inlineStr">
        <is>
          <t>https://savitrigroup.in/wp-content/uploads/2018/02/scooter-3.jpg</t>
        </is>
      </c>
      <c r="H104" s="4" t="inlineStr">
        <is>
          <t>https://savitrigroup.in/products/rice/broken-rice-range/scooter/broken-rice-3/</t>
        </is>
      </c>
    </row>
    <row r="105" ht="90" customHeight="1">
      <c r="A105" s="3" t="inlineStr">
        <is>
          <t>Kangaroo</t>
        </is>
      </c>
      <c r="B105" s="3" t="inlineStr">
        <is>
          <t>Broken Rice Range</t>
        </is>
      </c>
      <c r="C105" s="3" t="inlineStr">
        <is>
          <t>Broken rice</t>
        </is>
      </c>
      <c r="D105" s="3" t="inlineStr">
        <is>
          <t>Pack 1</t>
        </is>
      </c>
      <c r="E105" s="3" t="inlineStr">
        <is>
          <t>Broken rice</t>
        </is>
      </c>
      <c r="F105" s="2">
        <f>_xlfn.IMAGE("https://savitrigroup.in/wp-content/uploads/2018/02/kangaroo-1.jpg")</f>
        <v/>
      </c>
      <c r="G105" s="4" t="inlineStr">
        <is>
          <t>https://savitrigroup.in/wp-content/uploads/2018/02/kangaroo-1.jpg</t>
        </is>
      </c>
      <c r="H105" s="4" t="inlineStr">
        <is>
          <t>https://savitrigroup.in/products/rice/broken-rice-range/kangaroo/feel-good-1/</t>
        </is>
      </c>
    </row>
    <row r="106" ht="90" customHeight="1">
      <c r="A106" s="3" t="inlineStr">
        <is>
          <t>Kangaroo</t>
        </is>
      </c>
      <c r="B106" s="3" t="inlineStr">
        <is>
          <t>Broken Rice Range</t>
        </is>
      </c>
      <c r="C106" s="3" t="inlineStr">
        <is>
          <t>Broken rice</t>
        </is>
      </c>
      <c r="D106" s="3" t="inlineStr">
        <is>
          <t>Pack 2</t>
        </is>
      </c>
      <c r="E106" s="3" t="inlineStr">
        <is>
          <t>Broken rice</t>
        </is>
      </c>
      <c r="F106" s="2">
        <f>_xlfn.IMAGE("https://savitrigroup.in/wp-content/uploads/2018/02/kangaroo-2.jpg")</f>
        <v/>
      </c>
      <c r="G106" s="4" t="inlineStr">
        <is>
          <t>https://savitrigroup.in/wp-content/uploads/2018/02/kangaroo-2.jpg</t>
        </is>
      </c>
      <c r="H106" s="4" t="inlineStr">
        <is>
          <t>https://savitrigroup.in/products/rice/broken-rice-range/kangaroo/feel-good-2/</t>
        </is>
      </c>
    </row>
    <row r="107" ht="90" customHeight="1">
      <c r="A107" s="3" t="inlineStr">
        <is>
          <t>Kangaroo</t>
        </is>
      </c>
      <c r="B107" s="3" t="inlineStr">
        <is>
          <t>Broken Rice Range</t>
        </is>
      </c>
      <c r="C107" s="3" t="inlineStr">
        <is>
          <t>Broken rice</t>
        </is>
      </c>
      <c r="D107" s="3" t="inlineStr">
        <is>
          <t>Pack 3</t>
        </is>
      </c>
      <c r="E107" s="3" t="inlineStr">
        <is>
          <t>Broken rice</t>
        </is>
      </c>
      <c r="F107" s="2">
        <f>_xlfn.IMAGE("https://savitrigroup.in/wp-content/uploads/2018/02/kangaroo-3.jpg")</f>
        <v/>
      </c>
      <c r="G107" s="4" t="inlineStr">
        <is>
          <t>https://savitrigroup.in/wp-content/uploads/2018/02/kangaroo-3.jpg</t>
        </is>
      </c>
      <c r="H107" s="4" t="inlineStr">
        <is>
          <t>https://savitrigroup.in/products/rice/broken-rice-range/kangaroo/feel-good-3/</t>
        </is>
      </c>
    </row>
  </sheetData>
  <autoFilter ref="A1:H107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G22" r:id="rId40"/>
    <hyperlink xmlns:r="http://schemas.openxmlformats.org/officeDocument/2006/relationships" ref="G23" r:id="rId41"/>
    <hyperlink xmlns:r="http://schemas.openxmlformats.org/officeDocument/2006/relationships" ref="G24" r:id="rId42"/>
    <hyperlink xmlns:r="http://schemas.openxmlformats.org/officeDocument/2006/relationships" ref="G25" r:id="rId43"/>
    <hyperlink xmlns:r="http://schemas.openxmlformats.org/officeDocument/2006/relationships" ref="G26" r:id="rId44"/>
    <hyperlink xmlns:r="http://schemas.openxmlformats.org/officeDocument/2006/relationships" ref="G27" r:id="rId45"/>
    <hyperlink xmlns:r="http://schemas.openxmlformats.org/officeDocument/2006/relationships" ref="G28" r:id="rId46"/>
    <hyperlink xmlns:r="http://schemas.openxmlformats.org/officeDocument/2006/relationships" ref="G29" r:id="rId47"/>
    <hyperlink xmlns:r="http://schemas.openxmlformats.org/officeDocument/2006/relationships" ref="G30" r:id="rId48"/>
    <hyperlink xmlns:r="http://schemas.openxmlformats.org/officeDocument/2006/relationships" ref="G31" r:id="rId49"/>
    <hyperlink xmlns:r="http://schemas.openxmlformats.org/officeDocument/2006/relationships" ref="H31" r:id="rId50"/>
    <hyperlink xmlns:r="http://schemas.openxmlformats.org/officeDocument/2006/relationships" ref="G32" r:id="rId51"/>
    <hyperlink xmlns:r="http://schemas.openxmlformats.org/officeDocument/2006/relationships" ref="H32" r:id="rId52"/>
    <hyperlink xmlns:r="http://schemas.openxmlformats.org/officeDocument/2006/relationships" ref="G33" r:id="rId53"/>
    <hyperlink xmlns:r="http://schemas.openxmlformats.org/officeDocument/2006/relationships" ref="H33" r:id="rId54"/>
    <hyperlink xmlns:r="http://schemas.openxmlformats.org/officeDocument/2006/relationships" ref="G34" r:id="rId55"/>
    <hyperlink xmlns:r="http://schemas.openxmlformats.org/officeDocument/2006/relationships" ref="H34" r:id="rId56"/>
    <hyperlink xmlns:r="http://schemas.openxmlformats.org/officeDocument/2006/relationships" ref="G35" r:id="rId57"/>
    <hyperlink xmlns:r="http://schemas.openxmlformats.org/officeDocument/2006/relationships" ref="H35" r:id="rId58"/>
    <hyperlink xmlns:r="http://schemas.openxmlformats.org/officeDocument/2006/relationships" ref="G36" r:id="rId59"/>
    <hyperlink xmlns:r="http://schemas.openxmlformats.org/officeDocument/2006/relationships" ref="H36" r:id="rId60"/>
    <hyperlink xmlns:r="http://schemas.openxmlformats.org/officeDocument/2006/relationships" ref="G37" r:id="rId61"/>
    <hyperlink xmlns:r="http://schemas.openxmlformats.org/officeDocument/2006/relationships" ref="H37" r:id="rId62"/>
    <hyperlink xmlns:r="http://schemas.openxmlformats.org/officeDocument/2006/relationships" ref="G38" r:id="rId63"/>
    <hyperlink xmlns:r="http://schemas.openxmlformats.org/officeDocument/2006/relationships" ref="H38" r:id="rId64"/>
    <hyperlink xmlns:r="http://schemas.openxmlformats.org/officeDocument/2006/relationships" ref="G39" r:id="rId65"/>
    <hyperlink xmlns:r="http://schemas.openxmlformats.org/officeDocument/2006/relationships" ref="H39" r:id="rId66"/>
    <hyperlink xmlns:r="http://schemas.openxmlformats.org/officeDocument/2006/relationships" ref="G40" r:id="rId67"/>
    <hyperlink xmlns:r="http://schemas.openxmlformats.org/officeDocument/2006/relationships" ref="H40" r:id="rId68"/>
    <hyperlink xmlns:r="http://schemas.openxmlformats.org/officeDocument/2006/relationships" ref="G41" r:id="rId69"/>
    <hyperlink xmlns:r="http://schemas.openxmlformats.org/officeDocument/2006/relationships" ref="H41" r:id="rId70"/>
    <hyperlink xmlns:r="http://schemas.openxmlformats.org/officeDocument/2006/relationships" ref="G42" r:id="rId71"/>
    <hyperlink xmlns:r="http://schemas.openxmlformats.org/officeDocument/2006/relationships" ref="G43" r:id="rId72"/>
    <hyperlink xmlns:r="http://schemas.openxmlformats.org/officeDocument/2006/relationships" ref="G44" r:id="rId73"/>
    <hyperlink xmlns:r="http://schemas.openxmlformats.org/officeDocument/2006/relationships" ref="G45" r:id="rId74"/>
    <hyperlink xmlns:r="http://schemas.openxmlformats.org/officeDocument/2006/relationships" ref="H45" r:id="rId75"/>
    <hyperlink xmlns:r="http://schemas.openxmlformats.org/officeDocument/2006/relationships" ref="G46" r:id="rId76"/>
    <hyperlink xmlns:r="http://schemas.openxmlformats.org/officeDocument/2006/relationships" ref="H46" r:id="rId77"/>
    <hyperlink xmlns:r="http://schemas.openxmlformats.org/officeDocument/2006/relationships" ref="G47" r:id="rId78"/>
    <hyperlink xmlns:r="http://schemas.openxmlformats.org/officeDocument/2006/relationships" ref="H47" r:id="rId79"/>
    <hyperlink xmlns:r="http://schemas.openxmlformats.org/officeDocument/2006/relationships" ref="G48" r:id="rId80"/>
    <hyperlink xmlns:r="http://schemas.openxmlformats.org/officeDocument/2006/relationships" ref="H48" r:id="rId81"/>
    <hyperlink xmlns:r="http://schemas.openxmlformats.org/officeDocument/2006/relationships" ref="G49" r:id="rId82"/>
    <hyperlink xmlns:r="http://schemas.openxmlformats.org/officeDocument/2006/relationships" ref="G50" r:id="rId83"/>
    <hyperlink xmlns:r="http://schemas.openxmlformats.org/officeDocument/2006/relationships" ref="G51" r:id="rId84"/>
    <hyperlink xmlns:r="http://schemas.openxmlformats.org/officeDocument/2006/relationships" ref="G52" r:id="rId85"/>
    <hyperlink xmlns:r="http://schemas.openxmlformats.org/officeDocument/2006/relationships" ref="H52" r:id="rId86"/>
    <hyperlink xmlns:r="http://schemas.openxmlformats.org/officeDocument/2006/relationships" ref="G53" r:id="rId87"/>
    <hyperlink xmlns:r="http://schemas.openxmlformats.org/officeDocument/2006/relationships" ref="H53" r:id="rId88"/>
    <hyperlink xmlns:r="http://schemas.openxmlformats.org/officeDocument/2006/relationships" ref="G54" r:id="rId89"/>
    <hyperlink xmlns:r="http://schemas.openxmlformats.org/officeDocument/2006/relationships" ref="H54" r:id="rId90"/>
    <hyperlink xmlns:r="http://schemas.openxmlformats.org/officeDocument/2006/relationships" ref="G55" r:id="rId91"/>
    <hyperlink xmlns:r="http://schemas.openxmlformats.org/officeDocument/2006/relationships" ref="H55" r:id="rId92"/>
    <hyperlink xmlns:r="http://schemas.openxmlformats.org/officeDocument/2006/relationships" ref="G56" r:id="rId93"/>
    <hyperlink xmlns:r="http://schemas.openxmlformats.org/officeDocument/2006/relationships" ref="G57" r:id="rId94"/>
    <hyperlink xmlns:r="http://schemas.openxmlformats.org/officeDocument/2006/relationships" ref="G58" r:id="rId95"/>
    <hyperlink xmlns:r="http://schemas.openxmlformats.org/officeDocument/2006/relationships" ref="G59" r:id="rId96"/>
    <hyperlink xmlns:r="http://schemas.openxmlformats.org/officeDocument/2006/relationships" ref="H59" r:id="rId97"/>
    <hyperlink xmlns:r="http://schemas.openxmlformats.org/officeDocument/2006/relationships" ref="G60" r:id="rId98"/>
    <hyperlink xmlns:r="http://schemas.openxmlformats.org/officeDocument/2006/relationships" ref="H60" r:id="rId99"/>
    <hyperlink xmlns:r="http://schemas.openxmlformats.org/officeDocument/2006/relationships" ref="G61" r:id="rId100"/>
    <hyperlink xmlns:r="http://schemas.openxmlformats.org/officeDocument/2006/relationships" ref="H61" r:id="rId101"/>
    <hyperlink xmlns:r="http://schemas.openxmlformats.org/officeDocument/2006/relationships" ref="G62" r:id="rId102"/>
    <hyperlink xmlns:r="http://schemas.openxmlformats.org/officeDocument/2006/relationships" ref="H62" r:id="rId103"/>
    <hyperlink xmlns:r="http://schemas.openxmlformats.org/officeDocument/2006/relationships" ref="G63" r:id="rId104"/>
    <hyperlink xmlns:r="http://schemas.openxmlformats.org/officeDocument/2006/relationships" ref="G64" r:id="rId105"/>
    <hyperlink xmlns:r="http://schemas.openxmlformats.org/officeDocument/2006/relationships" ref="G65" r:id="rId106"/>
    <hyperlink xmlns:r="http://schemas.openxmlformats.org/officeDocument/2006/relationships" ref="G66" r:id="rId107"/>
    <hyperlink xmlns:r="http://schemas.openxmlformats.org/officeDocument/2006/relationships" ref="H66" r:id="rId108"/>
    <hyperlink xmlns:r="http://schemas.openxmlformats.org/officeDocument/2006/relationships" ref="G67" r:id="rId109"/>
    <hyperlink xmlns:r="http://schemas.openxmlformats.org/officeDocument/2006/relationships" ref="H67" r:id="rId110"/>
    <hyperlink xmlns:r="http://schemas.openxmlformats.org/officeDocument/2006/relationships" ref="G68" r:id="rId111"/>
    <hyperlink xmlns:r="http://schemas.openxmlformats.org/officeDocument/2006/relationships" ref="H68" r:id="rId112"/>
    <hyperlink xmlns:r="http://schemas.openxmlformats.org/officeDocument/2006/relationships" ref="G69" r:id="rId113"/>
    <hyperlink xmlns:r="http://schemas.openxmlformats.org/officeDocument/2006/relationships" ref="G70" r:id="rId114"/>
    <hyperlink xmlns:r="http://schemas.openxmlformats.org/officeDocument/2006/relationships" ref="G71" r:id="rId115"/>
    <hyperlink xmlns:r="http://schemas.openxmlformats.org/officeDocument/2006/relationships" ref="G72" r:id="rId116"/>
    <hyperlink xmlns:r="http://schemas.openxmlformats.org/officeDocument/2006/relationships" ref="H72" r:id="rId117"/>
    <hyperlink xmlns:r="http://schemas.openxmlformats.org/officeDocument/2006/relationships" ref="G73" r:id="rId118"/>
    <hyperlink xmlns:r="http://schemas.openxmlformats.org/officeDocument/2006/relationships" ref="H73" r:id="rId119"/>
    <hyperlink xmlns:r="http://schemas.openxmlformats.org/officeDocument/2006/relationships" ref="G74" r:id="rId120"/>
    <hyperlink xmlns:r="http://schemas.openxmlformats.org/officeDocument/2006/relationships" ref="H74" r:id="rId121"/>
    <hyperlink xmlns:r="http://schemas.openxmlformats.org/officeDocument/2006/relationships" ref="G75" r:id="rId122"/>
    <hyperlink xmlns:r="http://schemas.openxmlformats.org/officeDocument/2006/relationships" ref="H75" r:id="rId123"/>
    <hyperlink xmlns:r="http://schemas.openxmlformats.org/officeDocument/2006/relationships" ref="G76" r:id="rId124"/>
    <hyperlink xmlns:r="http://schemas.openxmlformats.org/officeDocument/2006/relationships" ref="H76" r:id="rId125"/>
    <hyperlink xmlns:r="http://schemas.openxmlformats.org/officeDocument/2006/relationships" ref="G77" r:id="rId126"/>
    <hyperlink xmlns:r="http://schemas.openxmlformats.org/officeDocument/2006/relationships" ref="H77" r:id="rId127"/>
    <hyperlink xmlns:r="http://schemas.openxmlformats.org/officeDocument/2006/relationships" ref="G78" r:id="rId128"/>
    <hyperlink xmlns:r="http://schemas.openxmlformats.org/officeDocument/2006/relationships" ref="H78" r:id="rId129"/>
    <hyperlink xmlns:r="http://schemas.openxmlformats.org/officeDocument/2006/relationships" ref="G79" r:id="rId130"/>
    <hyperlink xmlns:r="http://schemas.openxmlformats.org/officeDocument/2006/relationships" ref="H79" r:id="rId131"/>
    <hyperlink xmlns:r="http://schemas.openxmlformats.org/officeDocument/2006/relationships" ref="G80" r:id="rId132"/>
    <hyperlink xmlns:r="http://schemas.openxmlformats.org/officeDocument/2006/relationships" ref="H80" r:id="rId133"/>
    <hyperlink xmlns:r="http://schemas.openxmlformats.org/officeDocument/2006/relationships" ref="G81" r:id="rId134"/>
    <hyperlink xmlns:r="http://schemas.openxmlformats.org/officeDocument/2006/relationships" ref="G82" r:id="rId135"/>
    <hyperlink xmlns:r="http://schemas.openxmlformats.org/officeDocument/2006/relationships" ref="G83" r:id="rId136"/>
    <hyperlink xmlns:r="http://schemas.openxmlformats.org/officeDocument/2006/relationships" ref="G84" r:id="rId137"/>
    <hyperlink xmlns:r="http://schemas.openxmlformats.org/officeDocument/2006/relationships" ref="G85" r:id="rId138"/>
    <hyperlink xmlns:r="http://schemas.openxmlformats.org/officeDocument/2006/relationships" ref="G86" r:id="rId139"/>
    <hyperlink xmlns:r="http://schemas.openxmlformats.org/officeDocument/2006/relationships" ref="G87" r:id="rId140"/>
    <hyperlink xmlns:r="http://schemas.openxmlformats.org/officeDocument/2006/relationships" ref="H87" r:id="rId141"/>
    <hyperlink xmlns:r="http://schemas.openxmlformats.org/officeDocument/2006/relationships" ref="G88" r:id="rId142"/>
    <hyperlink xmlns:r="http://schemas.openxmlformats.org/officeDocument/2006/relationships" ref="H88" r:id="rId143"/>
    <hyperlink xmlns:r="http://schemas.openxmlformats.org/officeDocument/2006/relationships" ref="G89" r:id="rId144"/>
    <hyperlink xmlns:r="http://schemas.openxmlformats.org/officeDocument/2006/relationships" ref="H89" r:id="rId145"/>
    <hyperlink xmlns:r="http://schemas.openxmlformats.org/officeDocument/2006/relationships" ref="G90" r:id="rId146"/>
    <hyperlink xmlns:r="http://schemas.openxmlformats.org/officeDocument/2006/relationships" ref="H90" r:id="rId147"/>
    <hyperlink xmlns:r="http://schemas.openxmlformats.org/officeDocument/2006/relationships" ref="G91" r:id="rId148"/>
    <hyperlink xmlns:r="http://schemas.openxmlformats.org/officeDocument/2006/relationships" ref="H91" r:id="rId149"/>
    <hyperlink xmlns:r="http://schemas.openxmlformats.org/officeDocument/2006/relationships" ref="G92" r:id="rId150"/>
    <hyperlink xmlns:r="http://schemas.openxmlformats.org/officeDocument/2006/relationships" ref="H92" r:id="rId151"/>
    <hyperlink xmlns:r="http://schemas.openxmlformats.org/officeDocument/2006/relationships" ref="G93" r:id="rId152"/>
    <hyperlink xmlns:r="http://schemas.openxmlformats.org/officeDocument/2006/relationships" ref="H93" r:id="rId153"/>
    <hyperlink xmlns:r="http://schemas.openxmlformats.org/officeDocument/2006/relationships" ref="G94" r:id="rId154"/>
    <hyperlink xmlns:r="http://schemas.openxmlformats.org/officeDocument/2006/relationships" ref="H94" r:id="rId155"/>
    <hyperlink xmlns:r="http://schemas.openxmlformats.org/officeDocument/2006/relationships" ref="G95" r:id="rId156"/>
    <hyperlink xmlns:r="http://schemas.openxmlformats.org/officeDocument/2006/relationships" ref="H95" r:id="rId157"/>
    <hyperlink xmlns:r="http://schemas.openxmlformats.org/officeDocument/2006/relationships" ref="G96" r:id="rId158"/>
    <hyperlink xmlns:r="http://schemas.openxmlformats.org/officeDocument/2006/relationships" ref="H96" r:id="rId159"/>
    <hyperlink xmlns:r="http://schemas.openxmlformats.org/officeDocument/2006/relationships" ref="G97" r:id="rId160"/>
    <hyperlink xmlns:r="http://schemas.openxmlformats.org/officeDocument/2006/relationships" ref="H97" r:id="rId161"/>
    <hyperlink xmlns:r="http://schemas.openxmlformats.org/officeDocument/2006/relationships" ref="G98" r:id="rId162"/>
    <hyperlink xmlns:r="http://schemas.openxmlformats.org/officeDocument/2006/relationships" ref="H98" r:id="rId163"/>
    <hyperlink xmlns:r="http://schemas.openxmlformats.org/officeDocument/2006/relationships" ref="G99" r:id="rId164"/>
    <hyperlink xmlns:r="http://schemas.openxmlformats.org/officeDocument/2006/relationships" ref="H99" r:id="rId165"/>
    <hyperlink xmlns:r="http://schemas.openxmlformats.org/officeDocument/2006/relationships" ref="G100" r:id="rId166"/>
    <hyperlink xmlns:r="http://schemas.openxmlformats.org/officeDocument/2006/relationships" ref="H100" r:id="rId167"/>
    <hyperlink xmlns:r="http://schemas.openxmlformats.org/officeDocument/2006/relationships" ref="G101" r:id="rId168"/>
    <hyperlink xmlns:r="http://schemas.openxmlformats.org/officeDocument/2006/relationships" ref="H101" r:id="rId169"/>
    <hyperlink xmlns:r="http://schemas.openxmlformats.org/officeDocument/2006/relationships" ref="G102" r:id="rId170"/>
    <hyperlink xmlns:r="http://schemas.openxmlformats.org/officeDocument/2006/relationships" ref="H102" r:id="rId171"/>
    <hyperlink xmlns:r="http://schemas.openxmlformats.org/officeDocument/2006/relationships" ref="G103" r:id="rId172"/>
    <hyperlink xmlns:r="http://schemas.openxmlformats.org/officeDocument/2006/relationships" ref="H103" r:id="rId173"/>
    <hyperlink xmlns:r="http://schemas.openxmlformats.org/officeDocument/2006/relationships" ref="G104" r:id="rId174"/>
    <hyperlink xmlns:r="http://schemas.openxmlformats.org/officeDocument/2006/relationships" ref="H104" r:id="rId175"/>
    <hyperlink xmlns:r="http://schemas.openxmlformats.org/officeDocument/2006/relationships" ref="G105" r:id="rId176"/>
    <hyperlink xmlns:r="http://schemas.openxmlformats.org/officeDocument/2006/relationships" ref="H105" r:id="rId177"/>
    <hyperlink xmlns:r="http://schemas.openxmlformats.org/officeDocument/2006/relationships" ref="G106" r:id="rId178"/>
    <hyperlink xmlns:r="http://schemas.openxmlformats.org/officeDocument/2006/relationships" ref="H106" r:id="rId179"/>
    <hyperlink xmlns:r="http://schemas.openxmlformats.org/officeDocument/2006/relationships" ref="G107" r:id="rId180"/>
    <hyperlink xmlns:r="http://schemas.openxmlformats.org/officeDocument/2006/relationships" ref="H107" r:id="rId18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7" t="inlineStr">
        <is>
          <t>Item</t>
        </is>
      </c>
      <c r="B1" s="7" t="inlineStr">
        <is>
          <t>Note</t>
        </is>
      </c>
    </row>
    <row r="2">
      <c r="A2" s="8" t="inlineStr">
        <is>
          <t>Source</t>
        </is>
      </c>
      <c r="B2" s="9" t="inlineStr">
        <is>
          <t>savitrigroup.in product pages, fetched 5 Oct 2026 (Premium, Special, Consumer, Economical, Broken rice ranges and Rice By-Products menu).</t>
        </is>
      </c>
    </row>
    <row r="3">
      <c r="A3" s="8" t="inlineStr">
        <is>
          <t>Coverage</t>
        </is>
      </c>
      <c r="B3" s="9" t="inlineStr">
        <is>
          <t>31 products (25 rice brands + 6 rice by-products) and 106 rice variants.</t>
        </is>
      </c>
    </row>
    <row r="4">
      <c r="A4" s="8" t="inlineStr">
        <is>
          <t>Images</t>
        </is>
      </c>
      <c r="B4" s="9" t="inlineStr">
        <is>
          <t>Images are not stored in the file. The Image columns use Excel's IMAGE() function and load live from savitrigroup.in. They work in Microsoft 365 / Excel 2021+ and Google Sheets, and need an internet connection. In older Excel, use the Image URL column links instead.</t>
        </is>
      </c>
    </row>
    <row r="5">
      <c r="A5" s="8" t="inlineStr">
        <is>
          <t>Image gaps</t>
        </is>
      </c>
      <c r="B5" s="9" t="inlineStr">
        <is>
          <t>The six rice by-products have no images or detail pages with content on the website, so they have no image.</t>
        </is>
      </c>
    </row>
    <row r="6">
      <c r="A6" s="8" t="inlineStr">
        <is>
          <t>Variant details</t>
        </is>
      </c>
      <c r="B6" s="9" t="inlineStr">
        <is>
          <t>Taken from each variant's caption on the website (e.g. rice grade/age/process). Where the website gives no distinct variant name (marked 'Pack 1', 'Pack 2' ...), the number is only the order shown on the page.</t>
        </is>
      </c>
    </row>
    <row r="7">
      <c r="A7" s="8" t="inlineStr">
        <is>
          <t>Not published</t>
        </is>
      </c>
      <c r="B7" s="9" t="inlineStr">
        <is>
          <t>The website does not list pack sizes, prices, or nutrition details, so none are included.</t>
        </is>
      </c>
    </row>
    <row r="8">
      <c r="A8" s="8" t="inlineStr">
        <is>
          <t>Product names</t>
        </is>
      </c>
      <c r="B8" s="9" t="inlineStr">
        <is>
          <t>All product names are brands shown on the Savitri Group website.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2026-10-05T09:01:27Z</dcterms:created>
  <dcterms:modified xmlns:dcterms="http://purl.org/dc/terms/" xmlns:xsi="http://www.w3.org/2001/XMLSchema-instance" xsi:type="dcterms:W3CDTF">2026-10-05T09:01:27Z</dcterms:modified>
</cp:coreProperties>
</file>